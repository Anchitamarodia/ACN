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45 runs" sheetId="2" state="visible" r:id="rId2"/>
    <sheet xmlns:r="http://schemas.openxmlformats.org/officeDocument/2006/relationships" name="full detail" sheetId="3" state="visible" r:id="rId3"/>
    <sheet xmlns:r="http://schemas.openxmlformats.org/officeDocument/2006/relationships" name="best per classifier" sheetId="4" state="visible" r:id="rId4"/>
    <sheet xmlns:r="http://schemas.openxmlformats.org/officeDocument/2006/relationships" name="components x classifier" sheetId="5" state="visible" r:id="rId5"/>
  </sheets>
  <definedNames>
    <definedName name="_xlnm._FilterDatabase" localSheetId="1" hidden="1">'45 runs'!$A$1:$H$46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sz val="9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74" customWidth="1" min="3" max="3"/>
  </cols>
  <sheetData>
    <row r="1">
      <c r="A1" s="1" t="inlineStr">
        <is>
          <t>Five Classifiers with PCA on CIC-IDS2017</t>
        </is>
      </c>
    </row>
    <row r="2">
      <c r="A2" s="2" t="inlineStr">
        <is>
          <t>45 runs: 3 test sizes x 3 component counts x 5 classifiers</t>
        </is>
      </c>
    </row>
    <row r="4">
      <c r="A4" s="3" t="inlineStr">
        <is>
          <t>Column headers</t>
        </is>
      </c>
    </row>
    <row r="5">
      <c r="A5" s="3" t="inlineStr">
        <is>
          <t>Short form</t>
        </is>
      </c>
      <c r="B5" s="3" t="inlineStr">
        <is>
          <t>Full form</t>
        </is>
      </c>
      <c r="C5" s="3" t="inlineStr">
        <is>
          <t>Meaning</t>
        </is>
      </c>
    </row>
    <row r="6">
      <c r="A6" s="4" t="inlineStr">
        <is>
          <t>Test</t>
        </is>
      </c>
      <c r="B6" s="4" t="inlineStr">
        <is>
          <t>Test size</t>
        </is>
      </c>
      <c r="C6" s="4" t="inlineStr">
        <is>
          <t>Fraction of flows held back for testing, the test_size in train_test_split</t>
        </is>
      </c>
    </row>
    <row r="7">
      <c r="A7" s="4" t="inlineStr">
        <is>
          <t>DR</t>
        </is>
      </c>
      <c r="B7" s="4" t="inlineStr">
        <is>
          <t>Dimensionality Reduction</t>
        </is>
      </c>
      <c r="C7" s="4" t="inlineStr">
        <is>
          <t>The reduction method and how many components it keeps</t>
        </is>
      </c>
    </row>
    <row r="8">
      <c r="A8" s="4" t="inlineStr">
        <is>
          <t>Clas</t>
        </is>
      </c>
      <c r="B8" s="4" t="inlineStr">
        <is>
          <t>Classifier</t>
        </is>
      </c>
      <c r="C8" s="4" t="inlineStr">
        <is>
          <t>Which algorithm was trained</t>
        </is>
      </c>
    </row>
    <row r="9">
      <c r="A9" s="4" t="inlineStr">
        <is>
          <t>Acc</t>
        </is>
      </c>
      <c r="B9" s="4" t="inlineStr">
        <is>
          <t>Accuracy</t>
        </is>
      </c>
      <c r="C9" s="4" t="inlineStr">
        <is>
          <t>Share of test flows given the correct label</t>
        </is>
      </c>
    </row>
    <row r="10">
      <c r="A10" s="4" t="inlineStr">
        <is>
          <t>Pre</t>
        </is>
      </c>
      <c r="B10" s="4" t="inlineStr">
        <is>
          <t>Precision (weighted)</t>
        </is>
      </c>
      <c r="C10" s="4" t="inlineStr">
        <is>
          <t>Of the flows called an attack, how many really were</t>
        </is>
      </c>
    </row>
    <row r="11">
      <c r="A11" s="4" t="inlineStr">
        <is>
          <t>Rec</t>
        </is>
      </c>
      <c r="B11" s="4" t="inlineStr">
        <is>
          <t>Recall (weighted)</t>
        </is>
      </c>
      <c r="C11" s="4" t="inlineStr">
        <is>
          <t>Of the real attacks, how many were caught</t>
        </is>
      </c>
    </row>
    <row r="12">
      <c r="A12" s="4" t="inlineStr">
        <is>
          <t>F1</t>
        </is>
      </c>
      <c r="B12" s="4" t="inlineStr">
        <is>
          <t>F1 score (weighted)</t>
        </is>
      </c>
      <c r="C12" s="4" t="inlineStr">
        <is>
          <t>Harmonic mean of precision and recall</t>
        </is>
      </c>
    </row>
    <row r="13">
      <c r="A13" s="4" t="inlineStr">
        <is>
          <t>script</t>
        </is>
      </c>
      <c r="B13" s="4" t="inlineStr">
        <is>
          <t>Run script</t>
        </is>
      </c>
      <c r="C13" s="4" t="inlineStr">
        <is>
          <t>The file that produced the row</t>
        </is>
      </c>
    </row>
    <row r="15">
      <c r="A15" s="3" t="inlineStr">
        <is>
          <t>Classifiers</t>
        </is>
      </c>
    </row>
    <row r="16">
      <c r="A16" s="3" t="inlineStr">
        <is>
          <t>Short form</t>
        </is>
      </c>
      <c r="B16" s="3" t="inlineStr">
        <is>
          <t>Full form</t>
        </is>
      </c>
      <c r="C16" s="3" t="inlineStr">
        <is>
          <t>Reference sheet entry</t>
        </is>
      </c>
    </row>
    <row r="17">
      <c r="A17" s="4" t="inlineStr">
        <is>
          <t>GB</t>
        </is>
      </c>
      <c r="B17" s="4" t="inlineStr">
        <is>
          <t>Gradient Boosting</t>
        </is>
      </c>
      <c r="C17" s="4" t="inlineStr">
        <is>
          <t>Sheet entry 8</t>
        </is>
      </c>
    </row>
    <row r="18">
      <c r="A18" s="4" t="inlineStr">
        <is>
          <t>MLP</t>
        </is>
      </c>
      <c r="B18" s="4" t="inlineStr">
        <is>
          <t>Multilayer Perceptron</t>
        </is>
      </c>
      <c r="C18" s="4" t="inlineStr">
        <is>
          <t>Sheet entry 18</t>
        </is>
      </c>
    </row>
    <row r="19">
      <c r="A19" s="4" t="inlineStr">
        <is>
          <t>RF</t>
        </is>
      </c>
      <c r="B19" s="4" t="inlineStr">
        <is>
          <t>Random Forest</t>
        </is>
      </c>
      <c r="C19" s="4" t="inlineStr">
        <is>
          <t>Sheet entry 7</t>
        </is>
      </c>
    </row>
    <row r="20">
      <c r="A20" s="4" t="inlineStr">
        <is>
          <t>QDA</t>
        </is>
      </c>
      <c r="B20" s="4" t="inlineStr">
        <is>
          <t>Quadratic Discriminant Analysis</t>
        </is>
      </c>
      <c r="C20" s="4" t="inlineStr">
        <is>
          <t>Sheet entry 17</t>
        </is>
      </c>
    </row>
    <row r="21">
      <c r="A21" s="4" t="inlineStr">
        <is>
          <t>RIDGE</t>
        </is>
      </c>
      <c r="B21" s="4" t="inlineStr">
        <is>
          <t>Ridge Regression</t>
        </is>
      </c>
      <c r="C21" s="4" t="inlineStr">
        <is>
          <t>Sheet entry 3</t>
        </is>
      </c>
    </row>
    <row r="23">
      <c r="A23" s="3" t="inlineStr">
        <is>
          <t>Test size</t>
        </is>
      </c>
    </row>
    <row r="24">
      <c r="A24" s="3" t="inlineStr">
        <is>
          <t>Value</t>
        </is>
      </c>
      <c r="B24" s="3" t="inlineStr">
        <is>
          <t>Train / test split</t>
        </is>
      </c>
      <c r="C24" s="3" t="inlineStr">
        <is>
          <t>Meaning</t>
        </is>
      </c>
    </row>
    <row r="25">
      <c r="A25" s="4" t="n">
        <v>0.2</v>
      </c>
      <c r="B25" s="4" t="inlineStr">
        <is>
          <t>80 / 20</t>
        </is>
      </c>
      <c r="C25" s="4" t="inlineStr">
        <is>
          <t>80% of flows train the model, 20% test it</t>
        </is>
      </c>
    </row>
    <row r="26">
      <c r="A26" s="4" t="n">
        <v>0.4</v>
      </c>
      <c r="B26" s="4" t="inlineStr">
        <is>
          <t>60 / 40</t>
        </is>
      </c>
      <c r="C26" s="4" t="inlineStr">
        <is>
          <t>60% train, 40% test. The split the base code uses</t>
        </is>
      </c>
    </row>
    <row r="27">
      <c r="A27" s="4" t="n">
        <v>0.6</v>
      </c>
      <c r="B27" s="4" t="inlineStr">
        <is>
          <t>40 / 60</t>
        </is>
      </c>
      <c r="C27" s="4" t="inlineStr">
        <is>
          <t>40% train, 60% test. Least training data, so scores usually fall</t>
        </is>
      </c>
    </row>
    <row r="29">
      <c r="A29" s="3" t="inlineStr">
        <is>
          <t>Dimensionality reduction</t>
        </is>
      </c>
    </row>
    <row r="30">
      <c r="A30" s="3" t="inlineStr">
        <is>
          <t>Short form</t>
        </is>
      </c>
      <c r="B30" s="3" t="inlineStr">
        <is>
          <t>Full form</t>
        </is>
      </c>
      <c r="C30" s="3" t="inlineStr">
        <is>
          <t>Meaning</t>
        </is>
      </c>
    </row>
    <row r="31">
      <c r="A31" s="4" t="inlineStr">
        <is>
          <t>PCA5</t>
        </is>
      </c>
      <c r="B31" s="4" t="inlineStr">
        <is>
          <t>PCA, 5 components</t>
        </is>
      </c>
      <c r="C31" s="4" t="inlineStr">
        <is>
          <t>78 features projected down to 5 axes along the directions of greatest variance</t>
        </is>
      </c>
    </row>
    <row r="32">
      <c r="A32" s="4" t="inlineStr">
        <is>
          <t>PCA10</t>
        </is>
      </c>
      <c r="B32" s="4" t="inlineStr">
        <is>
          <t>PCA, 10 components</t>
        </is>
      </c>
      <c r="C32" s="4" t="inlineStr">
        <is>
          <t>78 features projected down to 10 axes along the directions of greatest variance</t>
        </is>
      </c>
    </row>
    <row r="33">
      <c r="A33" s="4" t="inlineStr">
        <is>
          <t>PCA15</t>
        </is>
      </c>
      <c r="B33" s="4" t="inlineStr">
        <is>
          <t>PCA, 15 components</t>
        </is>
      </c>
      <c r="C33" s="4" t="inlineStr">
        <is>
          <t>78 features projected down to 15 axes along the directions of greatest variance</t>
        </is>
      </c>
    </row>
    <row r="35">
      <c r="A35" s="2" t="inlineStr">
        <is>
          <t>PCA is Principal Component Analysis. It is unsupervised, so it never sees the labels and has no ceiling tied to the number of classes.</t>
        </is>
      </c>
    </row>
    <row r="36">
      <c r="A36" s="2" t="inlineStr">
        <is>
          <t>Precision, recall and F1 are weighted averages, as in the base code. Benign traffic dominates the flows, so a model can score well here while missing the rare attacks. The confusion matrix images show where that happens.</t>
        </is>
      </c>
    </row>
    <row r="37">
      <c r="A37" s="2" t="inlineStr">
        <is>
          <t>Every run uses the same 100,000 flow stratified sample and random_state=0.</t>
        </is>
      </c>
    </row>
    <row r="38">
      <c r="A38" s="2" t="inlineStr">
        <is>
          <t>Gradient Boosting gets random_state=0, which the sheet leaves unset, so a rerun of any script gives the same numbers.</t>
        </is>
      </c>
    </row>
    <row r="39">
      <c r="A39" s="2" t="inlineStr">
        <is>
          <t>Ridge Regression (sheet entry 3) is a regression model. Its numeric prediction is rounded to the nearest class code before scoring.</t>
        </is>
      </c>
    </row>
    <row r="40">
      <c r="A40" s="2" t="inlineStr">
        <is>
          <t>QDA uses solver='eigen' with shrinkage=0.1: Heartbleed has fewer training flows than components at most settings, so its covariance cannot be estimated without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4" customWidth="1" min="3" max="3"/>
    <col width="31" customWidth="1" min="4" max="4"/>
    <col width="11" customWidth="1" min="5" max="5"/>
    <col width="21" customWidth="1" min="6" max="6"/>
    <col width="18" customWidth="1" min="7" max="7"/>
    <col width="20" customWidth="1" min="8" max="8"/>
  </cols>
  <sheetData>
    <row r="1">
      <c r="A1" s="5" t="inlineStr">
        <is>
          <t>Test size</t>
        </is>
      </c>
      <c r="B1" s="5" t="inlineStr">
        <is>
          <t>Train / test split</t>
        </is>
      </c>
      <c r="C1" s="5" t="inlineStr">
        <is>
          <t>Dimensionality reduction</t>
        </is>
      </c>
      <c r="D1" s="5" t="inlineStr">
        <is>
          <t>Classifier</t>
        </is>
      </c>
      <c r="E1" s="5" t="inlineStr">
        <is>
          <t>Accuracy</t>
        </is>
      </c>
      <c r="F1" s="5" t="inlineStr">
        <is>
          <t>Precision (weighted)</t>
        </is>
      </c>
      <c r="G1" s="5" t="inlineStr">
        <is>
          <t>Recall (weighted)</t>
        </is>
      </c>
      <c r="H1" s="5" t="inlineStr">
        <is>
          <t>F1 score (weighted)</t>
        </is>
      </c>
    </row>
    <row r="2">
      <c r="A2" s="6" t="n">
        <v>0.2</v>
      </c>
      <c r="B2" s="7" t="inlineStr">
        <is>
          <t>80 / 20</t>
        </is>
      </c>
      <c r="C2" s="7" t="inlineStr">
        <is>
          <t>PCA, 5 components</t>
        </is>
      </c>
      <c r="D2" s="7" t="inlineStr">
        <is>
          <t>Gradient Boosting</t>
        </is>
      </c>
      <c r="E2" s="8" t="n">
        <v>0.9572000000000001</v>
      </c>
      <c r="F2" s="8" t="n">
        <v>0.9656</v>
      </c>
      <c r="G2" s="8" t="n">
        <v>0.9572000000000001</v>
      </c>
      <c r="H2" s="8" t="n">
        <v>0.9597</v>
      </c>
    </row>
    <row r="3">
      <c r="A3" s="6" t="n">
        <v>0.4</v>
      </c>
      <c r="B3" s="7" t="inlineStr">
        <is>
          <t>60 / 40</t>
        </is>
      </c>
      <c r="C3" s="7" t="inlineStr">
        <is>
          <t>PCA, 5 components</t>
        </is>
      </c>
      <c r="D3" s="7" t="inlineStr">
        <is>
          <t>Gradient Boosting</t>
        </is>
      </c>
      <c r="E3" s="8" t="n">
        <v>0.9658</v>
      </c>
      <c r="F3" s="8" t="n">
        <v>0.9649</v>
      </c>
      <c r="G3" s="8" t="n">
        <v>0.9658</v>
      </c>
      <c r="H3" s="8" t="n">
        <v>0.9647</v>
      </c>
    </row>
    <row r="4">
      <c r="A4" s="6" t="n">
        <v>0.6</v>
      </c>
      <c r="B4" s="7" t="inlineStr">
        <is>
          <t>40 / 60</t>
        </is>
      </c>
      <c r="C4" s="7" t="inlineStr">
        <is>
          <t>PCA, 5 components</t>
        </is>
      </c>
      <c r="D4" s="7" t="inlineStr">
        <is>
          <t>Gradient Boosting</t>
        </is>
      </c>
      <c r="E4" s="8" t="n">
        <v>0.9596</v>
      </c>
      <c r="F4" s="8" t="n">
        <v>0.9668</v>
      </c>
      <c r="G4" s="8" t="n">
        <v>0.9596</v>
      </c>
      <c r="H4" s="8" t="n">
        <v>0.9626</v>
      </c>
    </row>
    <row r="5">
      <c r="A5" s="6" t="n">
        <v>0.2</v>
      </c>
      <c r="B5" s="7" t="inlineStr">
        <is>
          <t>80 / 20</t>
        </is>
      </c>
      <c r="C5" s="7" t="inlineStr">
        <is>
          <t>PCA, 10 components</t>
        </is>
      </c>
      <c r="D5" s="7" t="inlineStr">
        <is>
          <t>Gradient Boosting</t>
        </is>
      </c>
      <c r="E5" s="8" t="n">
        <v>0.9762999999999999</v>
      </c>
      <c r="F5" s="8" t="n">
        <v>0.9758</v>
      </c>
      <c r="G5" s="8" t="n">
        <v>0.9762999999999999</v>
      </c>
      <c r="H5" s="8" t="n">
        <v>0.9757</v>
      </c>
    </row>
    <row r="6">
      <c r="A6" s="6" t="n">
        <v>0.4</v>
      </c>
      <c r="B6" s="7" t="inlineStr">
        <is>
          <t>60 / 40</t>
        </is>
      </c>
      <c r="C6" s="7" t="inlineStr">
        <is>
          <t>PCA, 10 components</t>
        </is>
      </c>
      <c r="D6" s="7" t="inlineStr">
        <is>
          <t>Gradient Boosting</t>
        </is>
      </c>
      <c r="E6" s="8" t="n">
        <v>0.9729</v>
      </c>
      <c r="F6" s="8" t="n">
        <v>0.9732</v>
      </c>
      <c r="G6" s="8" t="n">
        <v>0.9729</v>
      </c>
      <c r="H6" s="8" t="n">
        <v>0.9729</v>
      </c>
    </row>
    <row r="7">
      <c r="A7" s="6" t="n">
        <v>0.6</v>
      </c>
      <c r="B7" s="7" t="inlineStr">
        <is>
          <t>40 / 60</t>
        </is>
      </c>
      <c r="C7" s="7" t="inlineStr">
        <is>
          <t>PCA, 10 components</t>
        </is>
      </c>
      <c r="D7" s="7" t="inlineStr">
        <is>
          <t>Gradient Boosting</t>
        </is>
      </c>
      <c r="E7" s="8" t="n">
        <v>0.5886</v>
      </c>
      <c r="F7" s="8" t="n">
        <v>0.8703</v>
      </c>
      <c r="G7" s="8" t="n">
        <v>0.5886</v>
      </c>
      <c r="H7" s="8" t="n">
        <v>0.699</v>
      </c>
    </row>
    <row r="8">
      <c r="A8" s="6" t="n">
        <v>0.2</v>
      </c>
      <c r="B8" s="7" t="inlineStr">
        <is>
          <t>80 / 20</t>
        </is>
      </c>
      <c r="C8" s="7" t="inlineStr">
        <is>
          <t>PCA, 15 components</t>
        </is>
      </c>
      <c r="D8" s="7" t="inlineStr">
        <is>
          <t>Gradient Boosting</t>
        </is>
      </c>
      <c r="E8" s="8" t="n">
        <v>0.9784</v>
      </c>
      <c r="F8" s="8" t="n">
        <v>0.9784</v>
      </c>
      <c r="G8" s="8" t="n">
        <v>0.9784</v>
      </c>
      <c r="H8" s="8" t="n">
        <v>0.978</v>
      </c>
    </row>
    <row r="9">
      <c r="A9" s="6" t="n">
        <v>0.4</v>
      </c>
      <c r="B9" s="7" t="inlineStr">
        <is>
          <t>60 / 40</t>
        </is>
      </c>
      <c r="C9" s="7" t="inlineStr">
        <is>
          <t>PCA, 15 components</t>
        </is>
      </c>
      <c r="D9" s="7" t="inlineStr">
        <is>
          <t>Gradient Boosting</t>
        </is>
      </c>
      <c r="E9" s="8" t="n">
        <v>0.9357</v>
      </c>
      <c r="F9" s="8" t="n">
        <v>0.9755</v>
      </c>
      <c r="G9" s="8" t="n">
        <v>0.9357</v>
      </c>
      <c r="H9" s="8" t="n">
        <v>0.955</v>
      </c>
    </row>
    <row r="10">
      <c r="A10" s="6" t="n">
        <v>0.6</v>
      </c>
      <c r="B10" s="7" t="inlineStr">
        <is>
          <t>40 / 60</t>
        </is>
      </c>
      <c r="C10" s="7" t="inlineStr">
        <is>
          <t>PCA, 15 components</t>
        </is>
      </c>
      <c r="D10" s="7" t="inlineStr">
        <is>
          <t>Gradient Boosting</t>
        </is>
      </c>
      <c r="E10" s="8" t="n">
        <v>0.9772999999999999</v>
      </c>
      <c r="F10" s="8" t="n">
        <v>0.9772</v>
      </c>
      <c r="G10" s="8" t="n">
        <v>0.9772999999999999</v>
      </c>
      <c r="H10" s="8" t="n">
        <v>0.9771</v>
      </c>
    </row>
    <row r="11">
      <c r="A11" s="6" t="n">
        <v>0.2</v>
      </c>
      <c r="B11" s="7" t="inlineStr">
        <is>
          <t>80 / 20</t>
        </is>
      </c>
      <c r="C11" s="7" t="inlineStr">
        <is>
          <t>PCA, 5 components</t>
        </is>
      </c>
      <c r="D11" s="7" t="inlineStr">
        <is>
          <t>Multilayer Perceptron</t>
        </is>
      </c>
      <c r="E11" s="8" t="n">
        <v>0.797</v>
      </c>
      <c r="F11" s="8" t="n">
        <v>0.7962</v>
      </c>
      <c r="G11" s="8" t="n">
        <v>0.797</v>
      </c>
      <c r="H11" s="8" t="n">
        <v>0.7081</v>
      </c>
    </row>
    <row r="12">
      <c r="A12" s="6" t="n">
        <v>0.4</v>
      </c>
      <c r="B12" s="7" t="inlineStr">
        <is>
          <t>60 / 40</t>
        </is>
      </c>
      <c r="C12" s="7" t="inlineStr">
        <is>
          <t>PCA, 5 components</t>
        </is>
      </c>
      <c r="D12" s="7" t="inlineStr">
        <is>
          <t>Multilayer Perceptron</t>
        </is>
      </c>
      <c r="E12" s="8" t="n">
        <v>0.7947</v>
      </c>
      <c r="F12" s="8" t="n">
        <v>0.7225</v>
      </c>
      <c r="G12" s="8" t="n">
        <v>0.7947</v>
      </c>
      <c r="H12" s="8" t="n">
        <v>0.7052</v>
      </c>
    </row>
    <row r="13">
      <c r="A13" s="6" t="n">
        <v>0.6</v>
      </c>
      <c r="B13" s="7" t="inlineStr">
        <is>
          <t>40 / 60</t>
        </is>
      </c>
      <c r="C13" s="7" t="inlineStr">
        <is>
          <t>PCA, 5 components</t>
        </is>
      </c>
      <c r="D13" s="7" t="inlineStr">
        <is>
          <t>Multilayer Perceptron</t>
        </is>
      </c>
      <c r="E13" s="8" t="n">
        <v>0.3986</v>
      </c>
      <c r="F13" s="8" t="n">
        <v>0.8243</v>
      </c>
      <c r="G13" s="8" t="n">
        <v>0.3986</v>
      </c>
      <c r="H13" s="8" t="n">
        <v>0.411</v>
      </c>
    </row>
    <row r="14">
      <c r="A14" s="6" t="n">
        <v>0.2</v>
      </c>
      <c r="B14" s="7" t="inlineStr">
        <is>
          <t>80 / 20</t>
        </is>
      </c>
      <c r="C14" s="7" t="inlineStr">
        <is>
          <t>PCA, 10 components</t>
        </is>
      </c>
      <c r="D14" s="7" t="inlineStr">
        <is>
          <t>Multilayer Perceptron</t>
        </is>
      </c>
      <c r="E14" s="8" t="n">
        <v>0.7975</v>
      </c>
      <c r="F14" s="8" t="n">
        <v>0.8175</v>
      </c>
      <c r="G14" s="8" t="n">
        <v>0.7975</v>
      </c>
      <c r="H14" s="8" t="n">
        <v>0.7105</v>
      </c>
    </row>
    <row r="15">
      <c r="A15" s="6" t="n">
        <v>0.4</v>
      </c>
      <c r="B15" s="7" t="inlineStr">
        <is>
          <t>60 / 40</t>
        </is>
      </c>
      <c r="C15" s="7" t="inlineStr">
        <is>
          <t>PCA, 10 components</t>
        </is>
      </c>
      <c r="D15" s="7" t="inlineStr">
        <is>
          <t>Multilayer Perceptron</t>
        </is>
      </c>
      <c r="E15" s="8" t="n">
        <v>0.8379</v>
      </c>
      <c r="F15" s="8" t="n">
        <v>0.8434</v>
      </c>
      <c r="G15" s="8" t="n">
        <v>0.8379</v>
      </c>
      <c r="H15" s="8" t="n">
        <v>0.7914</v>
      </c>
    </row>
    <row r="16">
      <c r="A16" s="6" t="n">
        <v>0.6</v>
      </c>
      <c r="B16" s="7" t="inlineStr">
        <is>
          <t>40 / 60</t>
        </is>
      </c>
      <c r="C16" s="7" t="inlineStr">
        <is>
          <t>PCA, 10 components</t>
        </is>
      </c>
      <c r="D16" s="7" t="inlineStr">
        <is>
          <t>Multilayer Perceptron</t>
        </is>
      </c>
      <c r="E16" s="8" t="n">
        <v>0.7984</v>
      </c>
      <c r="F16" s="8" t="n">
        <v>0.757</v>
      </c>
      <c r="G16" s="8" t="n">
        <v>0.7984</v>
      </c>
      <c r="H16" s="8" t="n">
        <v>0.7159</v>
      </c>
    </row>
    <row r="17">
      <c r="A17" s="6" t="n">
        <v>0.2</v>
      </c>
      <c r="B17" s="7" t="inlineStr">
        <is>
          <t>80 / 20</t>
        </is>
      </c>
      <c r="C17" s="7" t="inlineStr">
        <is>
          <t>PCA, 15 components</t>
        </is>
      </c>
      <c r="D17" s="7" t="inlineStr">
        <is>
          <t>Multilayer Perceptron</t>
        </is>
      </c>
      <c r="E17" s="8" t="n">
        <v>0.7945</v>
      </c>
      <c r="F17" s="8" t="n">
        <v>0.6312</v>
      </c>
      <c r="G17" s="8" t="n">
        <v>0.7945</v>
      </c>
      <c r="H17" s="8" t="n">
        <v>0.7035</v>
      </c>
    </row>
    <row r="18">
      <c r="A18" s="6" t="n">
        <v>0.4</v>
      </c>
      <c r="B18" s="7" t="inlineStr">
        <is>
          <t>60 / 40</t>
        </is>
      </c>
      <c r="C18" s="7" t="inlineStr">
        <is>
          <t>PCA, 15 components</t>
        </is>
      </c>
      <c r="D18" s="7" t="inlineStr">
        <is>
          <t>Multilayer Perceptron</t>
        </is>
      </c>
      <c r="E18" s="8" t="n">
        <v>0.7955</v>
      </c>
      <c r="F18" s="8" t="n">
        <v>0.801</v>
      </c>
      <c r="G18" s="8" t="n">
        <v>0.7955</v>
      </c>
      <c r="H18" s="8" t="n">
        <v>0.7059</v>
      </c>
    </row>
    <row r="19">
      <c r="A19" s="6" t="n">
        <v>0.6</v>
      </c>
      <c r="B19" s="7" t="inlineStr">
        <is>
          <t>40 / 60</t>
        </is>
      </c>
      <c r="C19" s="7" t="inlineStr">
        <is>
          <t>PCA, 15 components</t>
        </is>
      </c>
      <c r="D19" s="7" t="inlineStr">
        <is>
          <t>Multilayer Perceptron</t>
        </is>
      </c>
      <c r="E19" s="8" t="n">
        <v>0.5964</v>
      </c>
      <c r="F19" s="8" t="n">
        <v>0.8582</v>
      </c>
      <c r="G19" s="8" t="n">
        <v>0.5964</v>
      </c>
      <c r="H19" s="8" t="n">
        <v>0.6345</v>
      </c>
    </row>
    <row r="20">
      <c r="A20" s="6" t="n">
        <v>0.2</v>
      </c>
      <c r="B20" s="7" t="inlineStr">
        <is>
          <t>80 / 20</t>
        </is>
      </c>
      <c r="C20" s="7" t="inlineStr">
        <is>
          <t>PCA, 5 components</t>
        </is>
      </c>
      <c r="D20" s="7" t="inlineStr">
        <is>
          <t>Random Forest</t>
        </is>
      </c>
      <c r="E20" s="8" t="n">
        <v>0.9876</v>
      </c>
      <c r="F20" s="8" t="n">
        <v>0.9875</v>
      </c>
      <c r="G20" s="8" t="n">
        <v>0.9876</v>
      </c>
      <c r="H20" s="8" t="n">
        <v>0.9875</v>
      </c>
    </row>
    <row r="21">
      <c r="A21" s="6" t="n">
        <v>0.4</v>
      </c>
      <c r="B21" s="7" t="inlineStr">
        <is>
          <t>60 / 40</t>
        </is>
      </c>
      <c r="C21" s="7" t="inlineStr">
        <is>
          <t>PCA, 5 components</t>
        </is>
      </c>
      <c r="D21" s="7" t="inlineStr">
        <is>
          <t>Random Forest</t>
        </is>
      </c>
      <c r="E21" s="8" t="n">
        <v>0.9867</v>
      </c>
      <c r="F21" s="8" t="n">
        <v>0.9866</v>
      </c>
      <c r="G21" s="8" t="n">
        <v>0.9867</v>
      </c>
      <c r="H21" s="8" t="n">
        <v>0.9865</v>
      </c>
    </row>
    <row r="22">
      <c r="A22" s="6" t="n">
        <v>0.6</v>
      </c>
      <c r="B22" s="7" t="inlineStr">
        <is>
          <t>40 / 60</t>
        </is>
      </c>
      <c r="C22" s="7" t="inlineStr">
        <is>
          <t>PCA, 5 components</t>
        </is>
      </c>
      <c r="D22" s="7" t="inlineStr">
        <is>
          <t>Random Forest</t>
        </is>
      </c>
      <c r="E22" s="8" t="n">
        <v>0.9846</v>
      </c>
      <c r="F22" s="8" t="n">
        <v>0.9843</v>
      </c>
      <c r="G22" s="8" t="n">
        <v>0.9846</v>
      </c>
      <c r="H22" s="8" t="n">
        <v>0.9844000000000001</v>
      </c>
    </row>
    <row r="23">
      <c r="A23" s="6" t="n">
        <v>0.2</v>
      </c>
      <c r="B23" s="7" t="inlineStr">
        <is>
          <t>80 / 20</t>
        </is>
      </c>
      <c r="C23" s="7" t="inlineStr">
        <is>
          <t>PCA, 10 components</t>
        </is>
      </c>
      <c r="D23" s="7" t="inlineStr">
        <is>
          <t>Random Forest</t>
        </is>
      </c>
      <c r="E23" s="8" t="n">
        <v>0.9913999999999999</v>
      </c>
      <c r="F23" s="8" t="n">
        <v>0.9913</v>
      </c>
      <c r="G23" s="8" t="n">
        <v>0.9913999999999999</v>
      </c>
      <c r="H23" s="8" t="n">
        <v>0.9913</v>
      </c>
    </row>
    <row r="24">
      <c r="A24" s="6" t="n">
        <v>0.4</v>
      </c>
      <c r="B24" s="7" t="inlineStr">
        <is>
          <t>60 / 40</t>
        </is>
      </c>
      <c r="C24" s="7" t="inlineStr">
        <is>
          <t>PCA, 10 components</t>
        </is>
      </c>
      <c r="D24" s="7" t="inlineStr">
        <is>
          <t>Random Forest</t>
        </is>
      </c>
      <c r="E24" s="8" t="n">
        <v>0.9897</v>
      </c>
      <c r="F24" s="8" t="n">
        <v>0.9897</v>
      </c>
      <c r="G24" s="8" t="n">
        <v>0.9897</v>
      </c>
      <c r="H24" s="8" t="n">
        <v>0.9896</v>
      </c>
    </row>
    <row r="25">
      <c r="A25" s="6" t="n">
        <v>0.6</v>
      </c>
      <c r="B25" s="7" t="inlineStr">
        <is>
          <t>40 / 60</t>
        </is>
      </c>
      <c r="C25" s="7" t="inlineStr">
        <is>
          <t>PCA, 10 components</t>
        </is>
      </c>
      <c r="D25" s="7" t="inlineStr">
        <is>
          <t>Random Forest</t>
        </is>
      </c>
      <c r="E25" s="8" t="n">
        <v>0.9893</v>
      </c>
      <c r="F25" s="8" t="n">
        <v>0.9891</v>
      </c>
      <c r="G25" s="8" t="n">
        <v>0.9893</v>
      </c>
      <c r="H25" s="8" t="n">
        <v>0.9892</v>
      </c>
    </row>
    <row r="26">
      <c r="A26" s="6" t="n">
        <v>0.2</v>
      </c>
      <c r="B26" s="7" t="inlineStr">
        <is>
          <t>80 / 20</t>
        </is>
      </c>
      <c r="C26" s="7" t="inlineStr">
        <is>
          <t>PCA, 15 components</t>
        </is>
      </c>
      <c r="D26" s="7" t="inlineStr">
        <is>
          <t>Random Forest</t>
        </is>
      </c>
      <c r="E26" s="8" t="n">
        <v>0.992</v>
      </c>
      <c r="F26" s="8" t="n">
        <v>0.9919</v>
      </c>
      <c r="G26" s="8" t="n">
        <v>0.992</v>
      </c>
      <c r="H26" s="8" t="n">
        <v>0.9919</v>
      </c>
    </row>
    <row r="27">
      <c r="A27" s="6" t="n">
        <v>0.4</v>
      </c>
      <c r="B27" s="7" t="inlineStr">
        <is>
          <t>60 / 40</t>
        </is>
      </c>
      <c r="C27" s="7" t="inlineStr">
        <is>
          <t>PCA, 15 components</t>
        </is>
      </c>
      <c r="D27" s="7" t="inlineStr">
        <is>
          <t>Random Forest</t>
        </is>
      </c>
      <c r="E27" s="8" t="n">
        <v>0.9906</v>
      </c>
      <c r="F27" s="8" t="n">
        <v>0.9906</v>
      </c>
      <c r="G27" s="8" t="n">
        <v>0.9906</v>
      </c>
      <c r="H27" s="8" t="n">
        <v>0.9905</v>
      </c>
    </row>
    <row r="28">
      <c r="A28" s="6" t="n">
        <v>0.6</v>
      </c>
      <c r="B28" s="7" t="inlineStr">
        <is>
          <t>40 / 60</t>
        </is>
      </c>
      <c r="C28" s="7" t="inlineStr">
        <is>
          <t>PCA, 15 components</t>
        </is>
      </c>
      <c r="D28" s="7" t="inlineStr">
        <is>
          <t>Random Forest</t>
        </is>
      </c>
      <c r="E28" s="8" t="n">
        <v>0.9896</v>
      </c>
      <c r="F28" s="8" t="n">
        <v>0.9893999999999999</v>
      </c>
      <c r="G28" s="8" t="n">
        <v>0.9896</v>
      </c>
      <c r="H28" s="8" t="n">
        <v>0.9895</v>
      </c>
    </row>
    <row r="29">
      <c r="A29" s="6" t="n">
        <v>0.2</v>
      </c>
      <c r="B29" s="7" t="inlineStr">
        <is>
          <t>80 / 20</t>
        </is>
      </c>
      <c r="C29" s="7" t="inlineStr">
        <is>
          <t>PCA, 5 components</t>
        </is>
      </c>
      <c r="D29" s="7" t="inlineStr">
        <is>
          <t>Quadratic Discriminant Analysis</t>
        </is>
      </c>
      <c r="E29" s="8" t="n">
        <v>0.2446</v>
      </c>
      <c r="F29" s="8" t="n">
        <v>0.9224</v>
      </c>
      <c r="G29" s="8" t="n">
        <v>0.2446</v>
      </c>
      <c r="H29" s="8" t="n">
        <v>0.3458</v>
      </c>
    </row>
    <row r="30">
      <c r="A30" s="6" t="n">
        <v>0.4</v>
      </c>
      <c r="B30" s="7" t="inlineStr">
        <is>
          <t>60 / 40</t>
        </is>
      </c>
      <c r="C30" s="7" t="inlineStr">
        <is>
          <t>PCA, 5 components</t>
        </is>
      </c>
      <c r="D30" s="7" t="inlineStr">
        <is>
          <t>Quadratic Discriminant Analysis</t>
        </is>
      </c>
      <c r="E30" s="8" t="n">
        <v>0.2309</v>
      </c>
      <c r="F30" s="8" t="n">
        <v>0.9183</v>
      </c>
      <c r="G30" s="8" t="n">
        <v>0.2309</v>
      </c>
      <c r="H30" s="8" t="n">
        <v>0.326</v>
      </c>
    </row>
    <row r="31">
      <c r="A31" s="6" t="n">
        <v>0.6</v>
      </c>
      <c r="B31" s="7" t="inlineStr">
        <is>
          <t>40 / 60</t>
        </is>
      </c>
      <c r="C31" s="7" t="inlineStr">
        <is>
          <t>PCA, 5 components</t>
        </is>
      </c>
      <c r="D31" s="7" t="inlineStr">
        <is>
          <t>Quadratic Discriminant Analysis</t>
        </is>
      </c>
      <c r="E31" s="8" t="n">
        <v>0.2335</v>
      </c>
      <c r="F31" s="8" t="n">
        <v>0.9195</v>
      </c>
      <c r="G31" s="8" t="n">
        <v>0.2335</v>
      </c>
      <c r="H31" s="8" t="n">
        <v>0.3298</v>
      </c>
    </row>
    <row r="32">
      <c r="A32" s="6" t="n">
        <v>0.2</v>
      </c>
      <c r="B32" s="7" t="inlineStr">
        <is>
          <t>80 / 20</t>
        </is>
      </c>
      <c r="C32" s="7" t="inlineStr">
        <is>
          <t>PCA, 10 components</t>
        </is>
      </c>
      <c r="D32" s="7" t="inlineStr">
        <is>
          <t>Quadratic Discriminant Analysis</t>
        </is>
      </c>
      <c r="E32" s="8" t="n">
        <v>0.2364</v>
      </c>
      <c r="F32" s="8" t="n">
        <v>0.9207</v>
      </c>
      <c r="G32" s="8" t="n">
        <v>0.2364</v>
      </c>
      <c r="H32" s="8" t="n">
        <v>0.3374</v>
      </c>
    </row>
    <row r="33">
      <c r="A33" s="6" t="n">
        <v>0.4</v>
      </c>
      <c r="B33" s="7" t="inlineStr">
        <is>
          <t>60 / 40</t>
        </is>
      </c>
      <c r="C33" s="7" t="inlineStr">
        <is>
          <t>PCA, 10 components</t>
        </is>
      </c>
      <c r="D33" s="7" t="inlineStr">
        <is>
          <t>Quadratic Discriminant Analysis</t>
        </is>
      </c>
      <c r="E33" s="8" t="n">
        <v>0.2286</v>
      </c>
      <c r="F33" s="8" t="n">
        <v>0.9203</v>
      </c>
      <c r="G33" s="8" t="n">
        <v>0.2286</v>
      </c>
      <c r="H33" s="8" t="n">
        <v>0.3283</v>
      </c>
    </row>
    <row r="34">
      <c r="A34" s="6" t="n">
        <v>0.6</v>
      </c>
      <c r="B34" s="7" t="inlineStr">
        <is>
          <t>40 / 60</t>
        </is>
      </c>
      <c r="C34" s="7" t="inlineStr">
        <is>
          <t>PCA, 10 components</t>
        </is>
      </c>
      <c r="D34" s="7" t="inlineStr">
        <is>
          <t>Quadratic Discriminant Analysis</t>
        </is>
      </c>
      <c r="E34" s="8" t="n">
        <v>0.2316</v>
      </c>
      <c r="F34" s="8" t="n">
        <v>0.9232</v>
      </c>
      <c r="G34" s="8" t="n">
        <v>0.2316</v>
      </c>
      <c r="H34" s="8" t="n">
        <v>0.3327</v>
      </c>
    </row>
    <row r="35">
      <c r="A35" s="6" t="n">
        <v>0.2</v>
      </c>
      <c r="B35" s="7" t="inlineStr">
        <is>
          <t>80 / 20</t>
        </is>
      </c>
      <c r="C35" s="7" t="inlineStr">
        <is>
          <t>PCA, 15 components</t>
        </is>
      </c>
      <c r="D35" s="7" t="inlineStr">
        <is>
          <t>Quadratic Discriminant Analysis</t>
        </is>
      </c>
      <c r="E35" s="8" t="n">
        <v>0.2379</v>
      </c>
      <c r="F35" s="8" t="n">
        <v>0.9256</v>
      </c>
      <c r="G35" s="8" t="n">
        <v>0.2379</v>
      </c>
      <c r="H35" s="8" t="n">
        <v>0.3391</v>
      </c>
    </row>
    <row r="36">
      <c r="A36" s="6" t="n">
        <v>0.4</v>
      </c>
      <c r="B36" s="7" t="inlineStr">
        <is>
          <t>60 / 40</t>
        </is>
      </c>
      <c r="C36" s="7" t="inlineStr">
        <is>
          <t>PCA, 15 components</t>
        </is>
      </c>
      <c r="D36" s="7" t="inlineStr">
        <is>
          <t>Quadratic Discriminant Analysis</t>
        </is>
      </c>
      <c r="E36" s="8" t="n">
        <v>0.2313</v>
      </c>
      <c r="F36" s="8" t="n">
        <v>0.9249000000000001</v>
      </c>
      <c r="G36" s="8" t="n">
        <v>0.2313</v>
      </c>
      <c r="H36" s="8" t="n">
        <v>0.3312</v>
      </c>
    </row>
    <row r="37">
      <c r="A37" s="6" t="n">
        <v>0.6</v>
      </c>
      <c r="B37" s="7" t="inlineStr">
        <is>
          <t>40 / 60</t>
        </is>
      </c>
      <c r="C37" s="7" t="inlineStr">
        <is>
          <t>PCA, 15 components</t>
        </is>
      </c>
      <c r="D37" s="7" t="inlineStr">
        <is>
          <t>Quadratic Discriminant Analysis</t>
        </is>
      </c>
      <c r="E37" s="8" t="n">
        <v>0.2324</v>
      </c>
      <c r="F37" s="8" t="n">
        <v>0.9252</v>
      </c>
      <c r="G37" s="8" t="n">
        <v>0.2324</v>
      </c>
      <c r="H37" s="8" t="n">
        <v>0.3337</v>
      </c>
    </row>
    <row r="38">
      <c r="A38" s="6" t="n">
        <v>0.2</v>
      </c>
      <c r="B38" s="7" t="inlineStr">
        <is>
          <t>80 / 20</t>
        </is>
      </c>
      <c r="C38" s="7" t="inlineStr">
        <is>
          <t>PCA, 5 components</t>
        </is>
      </c>
      <c r="D38" s="7" t="inlineStr">
        <is>
          <t>Ridge Regression</t>
        </is>
      </c>
      <c r="E38" s="8" t="n">
        <v>0.865</v>
      </c>
      <c r="F38" s="8" t="n">
        <v>0.8782</v>
      </c>
      <c r="G38" s="8" t="n">
        <v>0.865</v>
      </c>
      <c r="H38" s="8" t="n">
        <v>0.8616</v>
      </c>
    </row>
    <row r="39">
      <c r="A39" s="6" t="n">
        <v>0.4</v>
      </c>
      <c r="B39" s="7" t="inlineStr">
        <is>
          <t>60 / 40</t>
        </is>
      </c>
      <c r="C39" s="7" t="inlineStr">
        <is>
          <t>PCA, 5 components</t>
        </is>
      </c>
      <c r="D39" s="7" t="inlineStr">
        <is>
          <t>Ridge Regression</t>
        </is>
      </c>
      <c r="E39" s="8" t="n">
        <v>0.8625</v>
      </c>
      <c r="F39" s="8" t="n">
        <v>0.8758</v>
      </c>
      <c r="G39" s="8" t="n">
        <v>0.8625</v>
      </c>
      <c r="H39" s="8" t="n">
        <v>0.8592</v>
      </c>
    </row>
    <row r="40">
      <c r="A40" s="6" t="n">
        <v>0.6</v>
      </c>
      <c r="B40" s="7" t="inlineStr">
        <is>
          <t>40 / 60</t>
        </is>
      </c>
      <c r="C40" s="7" t="inlineStr">
        <is>
          <t>PCA, 5 components</t>
        </is>
      </c>
      <c r="D40" s="7" t="inlineStr">
        <is>
          <t>Ridge Regression</t>
        </is>
      </c>
      <c r="E40" s="8" t="n">
        <v>0.8601</v>
      </c>
      <c r="F40" s="8" t="n">
        <v>0.877</v>
      </c>
      <c r="G40" s="8" t="n">
        <v>0.8601</v>
      </c>
      <c r="H40" s="8" t="n">
        <v>0.8576</v>
      </c>
    </row>
    <row r="41">
      <c r="A41" s="6" t="n">
        <v>0.2</v>
      </c>
      <c r="B41" s="7" t="inlineStr">
        <is>
          <t>80 / 20</t>
        </is>
      </c>
      <c r="C41" s="7" t="inlineStr">
        <is>
          <t>PCA, 10 components</t>
        </is>
      </c>
      <c r="D41" s="7" t="inlineStr">
        <is>
          <t>Ridge Regression</t>
        </is>
      </c>
      <c r="E41" s="8" t="n">
        <v>0.8626</v>
      </c>
      <c r="F41" s="8" t="n">
        <v>0.8793</v>
      </c>
      <c r="G41" s="8" t="n">
        <v>0.8626</v>
      </c>
      <c r="H41" s="8" t="n">
        <v>0.8599</v>
      </c>
    </row>
    <row r="42">
      <c r="A42" s="6" t="n">
        <v>0.4</v>
      </c>
      <c r="B42" s="7" t="inlineStr">
        <is>
          <t>60 / 40</t>
        </is>
      </c>
      <c r="C42" s="7" t="inlineStr">
        <is>
          <t>PCA, 10 components</t>
        </is>
      </c>
      <c r="D42" s="7" t="inlineStr">
        <is>
          <t>Ridge Regression</t>
        </is>
      </c>
      <c r="E42" s="8" t="n">
        <v>0.8632</v>
      </c>
      <c r="F42" s="8" t="n">
        <v>0.8782</v>
      </c>
      <c r="G42" s="8" t="n">
        <v>0.8632</v>
      </c>
      <c r="H42" s="8" t="n">
        <v>0.8599</v>
      </c>
    </row>
    <row r="43">
      <c r="A43" s="6" t="n">
        <v>0.6</v>
      </c>
      <c r="B43" s="7" t="inlineStr">
        <is>
          <t>40 / 60</t>
        </is>
      </c>
      <c r="C43" s="7" t="inlineStr">
        <is>
          <t>PCA, 10 components</t>
        </is>
      </c>
      <c r="D43" s="7" t="inlineStr">
        <is>
          <t>Ridge Regression</t>
        </is>
      </c>
      <c r="E43" s="8" t="n">
        <v>0.8633999999999999</v>
      </c>
      <c r="F43" s="8" t="n">
        <v>0.8787</v>
      </c>
      <c r="G43" s="8" t="n">
        <v>0.8633999999999999</v>
      </c>
      <c r="H43" s="8" t="n">
        <v>0.8601</v>
      </c>
    </row>
    <row r="44">
      <c r="A44" s="6" t="n">
        <v>0.2</v>
      </c>
      <c r="B44" s="7" t="inlineStr">
        <is>
          <t>80 / 20</t>
        </is>
      </c>
      <c r="C44" s="7" t="inlineStr">
        <is>
          <t>PCA, 15 components</t>
        </is>
      </c>
      <c r="D44" s="7" t="inlineStr">
        <is>
          <t>Ridge Regression</t>
        </is>
      </c>
      <c r="E44" s="8" t="n">
        <v>0.8651</v>
      </c>
      <c r="F44" s="8" t="n">
        <v>0.8779</v>
      </c>
      <c r="G44" s="8" t="n">
        <v>0.8651</v>
      </c>
      <c r="H44" s="8" t="n">
        <v>0.8612</v>
      </c>
    </row>
    <row r="45">
      <c r="A45" s="6" t="n">
        <v>0.4</v>
      </c>
      <c r="B45" s="7" t="inlineStr">
        <is>
          <t>60 / 40</t>
        </is>
      </c>
      <c r="C45" s="7" t="inlineStr">
        <is>
          <t>PCA, 15 components</t>
        </is>
      </c>
      <c r="D45" s="7" t="inlineStr">
        <is>
          <t>Ridge Regression</t>
        </is>
      </c>
      <c r="E45" s="8" t="n">
        <v>0.8656</v>
      </c>
      <c r="F45" s="8" t="n">
        <v>0.8747</v>
      </c>
      <c r="G45" s="8" t="n">
        <v>0.8656</v>
      </c>
      <c r="H45" s="8" t="n">
        <v>0.8607</v>
      </c>
    </row>
    <row r="46">
      <c r="A46" s="6" t="n">
        <v>0.6</v>
      </c>
      <c r="B46" s="7" t="inlineStr">
        <is>
          <t>40 / 60</t>
        </is>
      </c>
      <c r="C46" s="7" t="inlineStr">
        <is>
          <t>PCA, 15 components</t>
        </is>
      </c>
      <c r="D46" s="7" t="inlineStr">
        <is>
          <t>Ridge Regression</t>
        </is>
      </c>
      <c r="E46" s="8" t="n">
        <v>0.8656</v>
      </c>
      <c r="F46" s="8" t="n">
        <v>0.8794</v>
      </c>
      <c r="G46" s="8" t="n">
        <v>0.8656</v>
      </c>
      <c r="H46" s="8" t="n">
        <v>0.8617</v>
      </c>
    </row>
  </sheetData>
  <autoFilter ref="A1:H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4" customWidth="1" min="3" max="3"/>
    <col width="31" customWidth="1" min="4" max="4"/>
    <col width="11" customWidth="1" min="5" max="5"/>
    <col width="21" customWidth="1" min="6" max="6"/>
    <col width="18" customWidth="1" min="7" max="7"/>
    <col width="20" customWidth="1" min="8" max="8"/>
    <col width="30" customWidth="1" min="9" max="9"/>
    <col width="24" customWidth="1" min="10" max="10"/>
  </cols>
  <sheetData>
    <row r="1">
      <c r="A1" s="5" t="inlineStr">
        <is>
          <t>Test size</t>
        </is>
      </c>
      <c r="B1" s="5" t="inlineStr">
        <is>
          <t>Train / test split</t>
        </is>
      </c>
      <c r="C1" s="5" t="inlineStr">
        <is>
          <t>Dimensionality reduction</t>
        </is>
      </c>
      <c r="D1" s="5" t="inlineStr">
        <is>
          <t>Classifier</t>
        </is>
      </c>
      <c r="E1" s="5" t="inlineStr">
        <is>
          <t>Accuracy</t>
        </is>
      </c>
      <c r="F1" s="5" t="inlineStr">
        <is>
          <t>Precision (weighted)</t>
        </is>
      </c>
      <c r="G1" s="5" t="inlineStr">
        <is>
          <t>Recall (weighted)</t>
        </is>
      </c>
      <c r="H1" s="5" t="inlineStr">
        <is>
          <t>F1 score (weighted)</t>
        </is>
      </c>
      <c r="I1" s="5" t="inlineStr">
        <is>
          <t>Run script</t>
        </is>
      </c>
      <c r="J1" s="5" t="inlineStr">
        <is>
          <t>key</t>
        </is>
      </c>
    </row>
    <row r="2">
      <c r="A2" s="6" t="n">
        <v>0.2</v>
      </c>
      <c r="B2" s="7" t="inlineStr">
        <is>
          <t>80 / 20</t>
        </is>
      </c>
      <c r="C2" s="7" t="inlineStr">
        <is>
          <t>PCA, 5 components</t>
        </is>
      </c>
      <c r="D2" s="7" t="inlineStr">
        <is>
          <t>Gradient Boosting</t>
        </is>
      </c>
      <c r="E2" s="8" t="n">
        <v>0.9572000000000001</v>
      </c>
      <c r="F2" s="8" t="n">
        <v>0.9656</v>
      </c>
      <c r="G2" s="8" t="n">
        <v>0.9572000000000001</v>
      </c>
      <c r="H2" s="8" t="n">
        <v>0.9597</v>
      </c>
      <c r="I2" s="7" t="inlineStr">
        <is>
          <t>Test_0.2_DR_PCA5_GB</t>
        </is>
      </c>
      <c r="J2" s="7">
        <f>D2&amp;"|"&amp;TEXT(H2,"0.0000")</f>
        <v/>
      </c>
    </row>
    <row r="3">
      <c r="A3" s="6" t="n">
        <v>0.4</v>
      </c>
      <c r="B3" s="7" t="inlineStr">
        <is>
          <t>60 / 40</t>
        </is>
      </c>
      <c r="C3" s="7" t="inlineStr">
        <is>
          <t>PCA, 5 components</t>
        </is>
      </c>
      <c r="D3" s="7" t="inlineStr">
        <is>
          <t>Gradient Boosting</t>
        </is>
      </c>
      <c r="E3" s="8" t="n">
        <v>0.9658</v>
      </c>
      <c r="F3" s="8" t="n">
        <v>0.9649</v>
      </c>
      <c r="G3" s="8" t="n">
        <v>0.9658</v>
      </c>
      <c r="H3" s="8" t="n">
        <v>0.9647</v>
      </c>
      <c r="I3" s="7" t="inlineStr">
        <is>
          <t>Test_0.4_DR_PCA5_GB</t>
        </is>
      </c>
      <c r="J3" s="7">
        <f>D3&amp;"|"&amp;TEXT(H3,"0.0000")</f>
        <v/>
      </c>
    </row>
    <row r="4">
      <c r="A4" s="6" t="n">
        <v>0.6</v>
      </c>
      <c r="B4" s="7" t="inlineStr">
        <is>
          <t>40 / 60</t>
        </is>
      </c>
      <c r="C4" s="7" t="inlineStr">
        <is>
          <t>PCA, 5 components</t>
        </is>
      </c>
      <c r="D4" s="7" t="inlineStr">
        <is>
          <t>Gradient Boosting</t>
        </is>
      </c>
      <c r="E4" s="8" t="n">
        <v>0.9596</v>
      </c>
      <c r="F4" s="8" t="n">
        <v>0.9668</v>
      </c>
      <c r="G4" s="8" t="n">
        <v>0.9596</v>
      </c>
      <c r="H4" s="8" t="n">
        <v>0.9626</v>
      </c>
      <c r="I4" s="7" t="inlineStr">
        <is>
          <t>Test_0.6_DR_PCA5_GB</t>
        </is>
      </c>
      <c r="J4" s="7">
        <f>D4&amp;"|"&amp;TEXT(H4,"0.0000")</f>
        <v/>
      </c>
    </row>
    <row r="5">
      <c r="A5" s="6" t="n">
        <v>0.2</v>
      </c>
      <c r="B5" s="7" t="inlineStr">
        <is>
          <t>80 / 20</t>
        </is>
      </c>
      <c r="C5" s="7" t="inlineStr">
        <is>
          <t>PCA, 10 components</t>
        </is>
      </c>
      <c r="D5" s="7" t="inlineStr">
        <is>
          <t>Gradient Boosting</t>
        </is>
      </c>
      <c r="E5" s="8" t="n">
        <v>0.9762999999999999</v>
      </c>
      <c r="F5" s="8" t="n">
        <v>0.9758</v>
      </c>
      <c r="G5" s="8" t="n">
        <v>0.9762999999999999</v>
      </c>
      <c r="H5" s="8" t="n">
        <v>0.9757</v>
      </c>
      <c r="I5" s="7" t="inlineStr">
        <is>
          <t>Test_0.2_DR_PCA10_GB</t>
        </is>
      </c>
      <c r="J5" s="7">
        <f>D5&amp;"|"&amp;TEXT(H5,"0.0000")</f>
        <v/>
      </c>
    </row>
    <row r="6">
      <c r="A6" s="6" t="n">
        <v>0.4</v>
      </c>
      <c r="B6" s="7" t="inlineStr">
        <is>
          <t>60 / 40</t>
        </is>
      </c>
      <c r="C6" s="7" t="inlineStr">
        <is>
          <t>PCA, 10 components</t>
        </is>
      </c>
      <c r="D6" s="7" t="inlineStr">
        <is>
          <t>Gradient Boosting</t>
        </is>
      </c>
      <c r="E6" s="8" t="n">
        <v>0.9729</v>
      </c>
      <c r="F6" s="8" t="n">
        <v>0.9732</v>
      </c>
      <c r="G6" s="8" t="n">
        <v>0.9729</v>
      </c>
      <c r="H6" s="8" t="n">
        <v>0.9729</v>
      </c>
      <c r="I6" s="7" t="inlineStr">
        <is>
          <t>Test_0.4_DR_PCA10_GB</t>
        </is>
      </c>
      <c r="J6" s="7">
        <f>D6&amp;"|"&amp;TEXT(H6,"0.0000")</f>
        <v/>
      </c>
    </row>
    <row r="7">
      <c r="A7" s="6" t="n">
        <v>0.6</v>
      </c>
      <c r="B7" s="7" t="inlineStr">
        <is>
          <t>40 / 60</t>
        </is>
      </c>
      <c r="C7" s="7" t="inlineStr">
        <is>
          <t>PCA, 10 components</t>
        </is>
      </c>
      <c r="D7" s="7" t="inlineStr">
        <is>
          <t>Gradient Boosting</t>
        </is>
      </c>
      <c r="E7" s="8" t="n">
        <v>0.5886</v>
      </c>
      <c r="F7" s="8" t="n">
        <v>0.8703</v>
      </c>
      <c r="G7" s="8" t="n">
        <v>0.5886</v>
      </c>
      <c r="H7" s="8" t="n">
        <v>0.699</v>
      </c>
      <c r="I7" s="7" t="inlineStr">
        <is>
          <t>Test_0.6_DR_PCA10_GB</t>
        </is>
      </c>
      <c r="J7" s="7">
        <f>D7&amp;"|"&amp;TEXT(H7,"0.0000")</f>
        <v/>
      </c>
    </row>
    <row r="8">
      <c r="A8" s="6" t="n">
        <v>0.2</v>
      </c>
      <c r="B8" s="7" t="inlineStr">
        <is>
          <t>80 / 20</t>
        </is>
      </c>
      <c r="C8" s="7" t="inlineStr">
        <is>
          <t>PCA, 15 components</t>
        </is>
      </c>
      <c r="D8" s="7" t="inlineStr">
        <is>
          <t>Gradient Boosting</t>
        </is>
      </c>
      <c r="E8" s="8" t="n">
        <v>0.9784</v>
      </c>
      <c r="F8" s="8" t="n">
        <v>0.9784</v>
      </c>
      <c r="G8" s="8" t="n">
        <v>0.9784</v>
      </c>
      <c r="H8" s="8" t="n">
        <v>0.978</v>
      </c>
      <c r="I8" s="7" t="inlineStr">
        <is>
          <t>Test_0.2_DR_PCA15_GB</t>
        </is>
      </c>
      <c r="J8" s="7">
        <f>D8&amp;"|"&amp;TEXT(H8,"0.0000")</f>
        <v/>
      </c>
    </row>
    <row r="9">
      <c r="A9" s="6" t="n">
        <v>0.4</v>
      </c>
      <c r="B9" s="7" t="inlineStr">
        <is>
          <t>60 / 40</t>
        </is>
      </c>
      <c r="C9" s="7" t="inlineStr">
        <is>
          <t>PCA, 15 components</t>
        </is>
      </c>
      <c r="D9" s="7" t="inlineStr">
        <is>
          <t>Gradient Boosting</t>
        </is>
      </c>
      <c r="E9" s="8" t="n">
        <v>0.9357</v>
      </c>
      <c r="F9" s="8" t="n">
        <v>0.9755</v>
      </c>
      <c r="G9" s="8" t="n">
        <v>0.9357</v>
      </c>
      <c r="H9" s="8" t="n">
        <v>0.955</v>
      </c>
      <c r="I9" s="7" t="inlineStr">
        <is>
          <t>Test_0.4_DR_PCA15_GB</t>
        </is>
      </c>
      <c r="J9" s="7">
        <f>D9&amp;"|"&amp;TEXT(H9,"0.0000")</f>
        <v/>
      </c>
    </row>
    <row r="10">
      <c r="A10" s="6" t="n">
        <v>0.6</v>
      </c>
      <c r="B10" s="7" t="inlineStr">
        <is>
          <t>40 / 60</t>
        </is>
      </c>
      <c r="C10" s="7" t="inlineStr">
        <is>
          <t>PCA, 15 components</t>
        </is>
      </c>
      <c r="D10" s="7" t="inlineStr">
        <is>
          <t>Gradient Boosting</t>
        </is>
      </c>
      <c r="E10" s="8" t="n">
        <v>0.9772999999999999</v>
      </c>
      <c r="F10" s="8" t="n">
        <v>0.9772</v>
      </c>
      <c r="G10" s="8" t="n">
        <v>0.9772999999999999</v>
      </c>
      <c r="H10" s="8" t="n">
        <v>0.9771</v>
      </c>
      <c r="I10" s="7" t="inlineStr">
        <is>
          <t>Test_0.6_DR_PCA15_GB</t>
        </is>
      </c>
      <c r="J10" s="7">
        <f>D10&amp;"|"&amp;TEXT(H10,"0.0000")</f>
        <v/>
      </c>
    </row>
    <row r="11">
      <c r="A11" s="6" t="n">
        <v>0.2</v>
      </c>
      <c r="B11" s="7" t="inlineStr">
        <is>
          <t>80 / 20</t>
        </is>
      </c>
      <c r="C11" s="7" t="inlineStr">
        <is>
          <t>PCA, 5 components</t>
        </is>
      </c>
      <c r="D11" s="7" t="inlineStr">
        <is>
          <t>Multilayer Perceptron</t>
        </is>
      </c>
      <c r="E11" s="8" t="n">
        <v>0.797</v>
      </c>
      <c r="F11" s="8" t="n">
        <v>0.7962</v>
      </c>
      <c r="G11" s="8" t="n">
        <v>0.797</v>
      </c>
      <c r="H11" s="8" t="n">
        <v>0.7081</v>
      </c>
      <c r="I11" s="7" t="inlineStr">
        <is>
          <t>Test_0.2_DR_PCA5_MLP</t>
        </is>
      </c>
      <c r="J11" s="7">
        <f>D11&amp;"|"&amp;TEXT(H11,"0.0000")</f>
        <v/>
      </c>
    </row>
    <row r="12">
      <c r="A12" s="6" t="n">
        <v>0.4</v>
      </c>
      <c r="B12" s="7" t="inlineStr">
        <is>
          <t>60 / 40</t>
        </is>
      </c>
      <c r="C12" s="7" t="inlineStr">
        <is>
          <t>PCA, 5 components</t>
        </is>
      </c>
      <c r="D12" s="7" t="inlineStr">
        <is>
          <t>Multilayer Perceptron</t>
        </is>
      </c>
      <c r="E12" s="8" t="n">
        <v>0.7947</v>
      </c>
      <c r="F12" s="8" t="n">
        <v>0.7225</v>
      </c>
      <c r="G12" s="8" t="n">
        <v>0.7947</v>
      </c>
      <c r="H12" s="8" t="n">
        <v>0.7052</v>
      </c>
      <c r="I12" s="7" t="inlineStr">
        <is>
          <t>Test_0.4_DR_PCA5_MLP</t>
        </is>
      </c>
      <c r="J12" s="7">
        <f>D12&amp;"|"&amp;TEXT(H12,"0.0000")</f>
        <v/>
      </c>
    </row>
    <row r="13">
      <c r="A13" s="6" t="n">
        <v>0.6</v>
      </c>
      <c r="B13" s="7" t="inlineStr">
        <is>
          <t>40 / 60</t>
        </is>
      </c>
      <c r="C13" s="7" t="inlineStr">
        <is>
          <t>PCA, 5 components</t>
        </is>
      </c>
      <c r="D13" s="7" t="inlineStr">
        <is>
          <t>Multilayer Perceptron</t>
        </is>
      </c>
      <c r="E13" s="8" t="n">
        <v>0.3986</v>
      </c>
      <c r="F13" s="8" t="n">
        <v>0.8243</v>
      </c>
      <c r="G13" s="8" t="n">
        <v>0.3986</v>
      </c>
      <c r="H13" s="8" t="n">
        <v>0.411</v>
      </c>
      <c r="I13" s="7" t="inlineStr">
        <is>
          <t>Test_0.6_DR_PCA5_MLP</t>
        </is>
      </c>
      <c r="J13" s="7">
        <f>D13&amp;"|"&amp;TEXT(H13,"0.0000")</f>
        <v/>
      </c>
    </row>
    <row r="14">
      <c r="A14" s="6" t="n">
        <v>0.2</v>
      </c>
      <c r="B14" s="7" t="inlineStr">
        <is>
          <t>80 / 20</t>
        </is>
      </c>
      <c r="C14" s="7" t="inlineStr">
        <is>
          <t>PCA, 10 components</t>
        </is>
      </c>
      <c r="D14" s="7" t="inlineStr">
        <is>
          <t>Multilayer Perceptron</t>
        </is>
      </c>
      <c r="E14" s="8" t="n">
        <v>0.7975</v>
      </c>
      <c r="F14" s="8" t="n">
        <v>0.8175</v>
      </c>
      <c r="G14" s="8" t="n">
        <v>0.7975</v>
      </c>
      <c r="H14" s="8" t="n">
        <v>0.7105</v>
      </c>
      <c r="I14" s="7" t="inlineStr">
        <is>
          <t>Test_0.2_DR_PCA10_MLP</t>
        </is>
      </c>
      <c r="J14" s="7">
        <f>D14&amp;"|"&amp;TEXT(H14,"0.0000")</f>
        <v/>
      </c>
    </row>
    <row r="15">
      <c r="A15" s="6" t="n">
        <v>0.4</v>
      </c>
      <c r="B15" s="7" t="inlineStr">
        <is>
          <t>60 / 40</t>
        </is>
      </c>
      <c r="C15" s="7" t="inlineStr">
        <is>
          <t>PCA, 10 components</t>
        </is>
      </c>
      <c r="D15" s="7" t="inlineStr">
        <is>
          <t>Multilayer Perceptron</t>
        </is>
      </c>
      <c r="E15" s="8" t="n">
        <v>0.8379</v>
      </c>
      <c r="F15" s="8" t="n">
        <v>0.8434</v>
      </c>
      <c r="G15" s="8" t="n">
        <v>0.8379</v>
      </c>
      <c r="H15" s="8" t="n">
        <v>0.7914</v>
      </c>
      <c r="I15" s="7" t="inlineStr">
        <is>
          <t>Test_0.4_DR_PCA10_MLP</t>
        </is>
      </c>
      <c r="J15" s="7">
        <f>D15&amp;"|"&amp;TEXT(H15,"0.0000")</f>
        <v/>
      </c>
    </row>
    <row r="16">
      <c r="A16" s="6" t="n">
        <v>0.6</v>
      </c>
      <c r="B16" s="7" t="inlineStr">
        <is>
          <t>40 / 60</t>
        </is>
      </c>
      <c r="C16" s="7" t="inlineStr">
        <is>
          <t>PCA, 10 components</t>
        </is>
      </c>
      <c r="D16" s="7" t="inlineStr">
        <is>
          <t>Multilayer Perceptron</t>
        </is>
      </c>
      <c r="E16" s="8" t="n">
        <v>0.7984</v>
      </c>
      <c r="F16" s="8" t="n">
        <v>0.757</v>
      </c>
      <c r="G16" s="8" t="n">
        <v>0.7984</v>
      </c>
      <c r="H16" s="8" t="n">
        <v>0.7159</v>
      </c>
      <c r="I16" s="7" t="inlineStr">
        <is>
          <t>Test_0.6_DR_PCA10_MLP</t>
        </is>
      </c>
      <c r="J16" s="7">
        <f>D16&amp;"|"&amp;TEXT(H16,"0.0000")</f>
        <v/>
      </c>
    </row>
    <row r="17">
      <c r="A17" s="6" t="n">
        <v>0.2</v>
      </c>
      <c r="B17" s="7" t="inlineStr">
        <is>
          <t>80 / 20</t>
        </is>
      </c>
      <c r="C17" s="7" t="inlineStr">
        <is>
          <t>PCA, 15 components</t>
        </is>
      </c>
      <c r="D17" s="7" t="inlineStr">
        <is>
          <t>Multilayer Perceptron</t>
        </is>
      </c>
      <c r="E17" s="8" t="n">
        <v>0.7945</v>
      </c>
      <c r="F17" s="8" t="n">
        <v>0.6312</v>
      </c>
      <c r="G17" s="8" t="n">
        <v>0.7945</v>
      </c>
      <c r="H17" s="8" t="n">
        <v>0.7035</v>
      </c>
      <c r="I17" s="7" t="inlineStr">
        <is>
          <t>Test_0.2_DR_PCA15_MLP</t>
        </is>
      </c>
      <c r="J17" s="7">
        <f>D17&amp;"|"&amp;TEXT(H17,"0.0000")</f>
        <v/>
      </c>
    </row>
    <row r="18">
      <c r="A18" s="6" t="n">
        <v>0.4</v>
      </c>
      <c r="B18" s="7" t="inlineStr">
        <is>
          <t>60 / 40</t>
        </is>
      </c>
      <c r="C18" s="7" t="inlineStr">
        <is>
          <t>PCA, 15 components</t>
        </is>
      </c>
      <c r="D18" s="7" t="inlineStr">
        <is>
          <t>Multilayer Perceptron</t>
        </is>
      </c>
      <c r="E18" s="8" t="n">
        <v>0.7955</v>
      </c>
      <c r="F18" s="8" t="n">
        <v>0.801</v>
      </c>
      <c r="G18" s="8" t="n">
        <v>0.7955</v>
      </c>
      <c r="H18" s="8" t="n">
        <v>0.7059</v>
      </c>
      <c r="I18" s="7" t="inlineStr">
        <is>
          <t>Test_0.4_DR_PCA15_MLP</t>
        </is>
      </c>
      <c r="J18" s="7">
        <f>D18&amp;"|"&amp;TEXT(H18,"0.0000")</f>
        <v/>
      </c>
    </row>
    <row r="19">
      <c r="A19" s="6" t="n">
        <v>0.6</v>
      </c>
      <c r="B19" s="7" t="inlineStr">
        <is>
          <t>40 / 60</t>
        </is>
      </c>
      <c r="C19" s="7" t="inlineStr">
        <is>
          <t>PCA, 15 components</t>
        </is>
      </c>
      <c r="D19" s="7" t="inlineStr">
        <is>
          <t>Multilayer Perceptron</t>
        </is>
      </c>
      <c r="E19" s="8" t="n">
        <v>0.5964</v>
      </c>
      <c r="F19" s="8" t="n">
        <v>0.8582</v>
      </c>
      <c r="G19" s="8" t="n">
        <v>0.5964</v>
      </c>
      <c r="H19" s="8" t="n">
        <v>0.6345</v>
      </c>
      <c r="I19" s="7" t="inlineStr">
        <is>
          <t>Test_0.6_DR_PCA15_MLP</t>
        </is>
      </c>
      <c r="J19" s="7">
        <f>D19&amp;"|"&amp;TEXT(H19,"0.0000")</f>
        <v/>
      </c>
    </row>
    <row r="20">
      <c r="A20" s="6" t="n">
        <v>0.2</v>
      </c>
      <c r="B20" s="7" t="inlineStr">
        <is>
          <t>80 / 20</t>
        </is>
      </c>
      <c r="C20" s="7" t="inlineStr">
        <is>
          <t>PCA, 5 components</t>
        </is>
      </c>
      <c r="D20" s="7" t="inlineStr">
        <is>
          <t>Random Forest</t>
        </is>
      </c>
      <c r="E20" s="8" t="n">
        <v>0.9876</v>
      </c>
      <c r="F20" s="8" t="n">
        <v>0.9875</v>
      </c>
      <c r="G20" s="8" t="n">
        <v>0.9876</v>
      </c>
      <c r="H20" s="8" t="n">
        <v>0.9875</v>
      </c>
      <c r="I20" s="7" t="inlineStr">
        <is>
          <t>Test_0.2_DR_PCA5_RF</t>
        </is>
      </c>
      <c r="J20" s="7">
        <f>D20&amp;"|"&amp;TEXT(H20,"0.0000")</f>
        <v/>
      </c>
    </row>
    <row r="21">
      <c r="A21" s="6" t="n">
        <v>0.4</v>
      </c>
      <c r="B21" s="7" t="inlineStr">
        <is>
          <t>60 / 40</t>
        </is>
      </c>
      <c r="C21" s="7" t="inlineStr">
        <is>
          <t>PCA, 5 components</t>
        </is>
      </c>
      <c r="D21" s="7" t="inlineStr">
        <is>
          <t>Random Forest</t>
        </is>
      </c>
      <c r="E21" s="8" t="n">
        <v>0.9867</v>
      </c>
      <c r="F21" s="8" t="n">
        <v>0.9866</v>
      </c>
      <c r="G21" s="8" t="n">
        <v>0.9867</v>
      </c>
      <c r="H21" s="8" t="n">
        <v>0.9865</v>
      </c>
      <c r="I21" s="7" t="inlineStr">
        <is>
          <t>Test_0.4_DR_PCA5_RF</t>
        </is>
      </c>
      <c r="J21" s="7">
        <f>D21&amp;"|"&amp;TEXT(H21,"0.0000")</f>
        <v/>
      </c>
    </row>
    <row r="22">
      <c r="A22" s="6" t="n">
        <v>0.6</v>
      </c>
      <c r="B22" s="7" t="inlineStr">
        <is>
          <t>40 / 60</t>
        </is>
      </c>
      <c r="C22" s="7" t="inlineStr">
        <is>
          <t>PCA, 5 components</t>
        </is>
      </c>
      <c r="D22" s="7" t="inlineStr">
        <is>
          <t>Random Forest</t>
        </is>
      </c>
      <c r="E22" s="8" t="n">
        <v>0.9846</v>
      </c>
      <c r="F22" s="8" t="n">
        <v>0.9843</v>
      </c>
      <c r="G22" s="8" t="n">
        <v>0.9846</v>
      </c>
      <c r="H22" s="8" t="n">
        <v>0.9844000000000001</v>
      </c>
      <c r="I22" s="7" t="inlineStr">
        <is>
          <t>Test_0.6_DR_PCA5_RF</t>
        </is>
      </c>
      <c r="J22" s="7">
        <f>D22&amp;"|"&amp;TEXT(H22,"0.0000")</f>
        <v/>
      </c>
    </row>
    <row r="23">
      <c r="A23" s="6" t="n">
        <v>0.2</v>
      </c>
      <c r="B23" s="7" t="inlineStr">
        <is>
          <t>80 / 20</t>
        </is>
      </c>
      <c r="C23" s="7" t="inlineStr">
        <is>
          <t>PCA, 10 components</t>
        </is>
      </c>
      <c r="D23" s="7" t="inlineStr">
        <is>
          <t>Random Forest</t>
        </is>
      </c>
      <c r="E23" s="8" t="n">
        <v>0.9913999999999999</v>
      </c>
      <c r="F23" s="8" t="n">
        <v>0.9913</v>
      </c>
      <c r="G23" s="8" t="n">
        <v>0.9913999999999999</v>
      </c>
      <c r="H23" s="8" t="n">
        <v>0.9913</v>
      </c>
      <c r="I23" s="7" t="inlineStr">
        <is>
          <t>Test_0.2_DR_PCA10_RF</t>
        </is>
      </c>
      <c r="J23" s="7">
        <f>D23&amp;"|"&amp;TEXT(H23,"0.0000")</f>
        <v/>
      </c>
    </row>
    <row r="24">
      <c r="A24" s="6" t="n">
        <v>0.4</v>
      </c>
      <c r="B24" s="7" t="inlineStr">
        <is>
          <t>60 / 40</t>
        </is>
      </c>
      <c r="C24" s="7" t="inlineStr">
        <is>
          <t>PCA, 10 components</t>
        </is>
      </c>
      <c r="D24" s="7" t="inlineStr">
        <is>
          <t>Random Forest</t>
        </is>
      </c>
      <c r="E24" s="8" t="n">
        <v>0.9897</v>
      </c>
      <c r="F24" s="8" t="n">
        <v>0.9897</v>
      </c>
      <c r="G24" s="8" t="n">
        <v>0.9897</v>
      </c>
      <c r="H24" s="8" t="n">
        <v>0.9896</v>
      </c>
      <c r="I24" s="7" t="inlineStr">
        <is>
          <t>Test_0.4_DR_PCA10_RF</t>
        </is>
      </c>
      <c r="J24" s="7">
        <f>D24&amp;"|"&amp;TEXT(H24,"0.0000")</f>
        <v/>
      </c>
    </row>
    <row r="25">
      <c r="A25" s="6" t="n">
        <v>0.6</v>
      </c>
      <c r="B25" s="7" t="inlineStr">
        <is>
          <t>40 / 60</t>
        </is>
      </c>
      <c r="C25" s="7" t="inlineStr">
        <is>
          <t>PCA, 10 components</t>
        </is>
      </c>
      <c r="D25" s="7" t="inlineStr">
        <is>
          <t>Random Forest</t>
        </is>
      </c>
      <c r="E25" s="8" t="n">
        <v>0.9893</v>
      </c>
      <c r="F25" s="8" t="n">
        <v>0.9891</v>
      </c>
      <c r="G25" s="8" t="n">
        <v>0.9893</v>
      </c>
      <c r="H25" s="8" t="n">
        <v>0.9892</v>
      </c>
      <c r="I25" s="7" t="inlineStr">
        <is>
          <t>Test_0.6_DR_PCA10_RF</t>
        </is>
      </c>
      <c r="J25" s="7">
        <f>D25&amp;"|"&amp;TEXT(H25,"0.0000")</f>
        <v/>
      </c>
    </row>
    <row r="26">
      <c r="A26" s="6" t="n">
        <v>0.2</v>
      </c>
      <c r="B26" s="7" t="inlineStr">
        <is>
          <t>80 / 20</t>
        </is>
      </c>
      <c r="C26" s="7" t="inlineStr">
        <is>
          <t>PCA, 15 components</t>
        </is>
      </c>
      <c r="D26" s="7" t="inlineStr">
        <is>
          <t>Random Forest</t>
        </is>
      </c>
      <c r="E26" s="8" t="n">
        <v>0.992</v>
      </c>
      <c r="F26" s="8" t="n">
        <v>0.9919</v>
      </c>
      <c r="G26" s="8" t="n">
        <v>0.992</v>
      </c>
      <c r="H26" s="8" t="n">
        <v>0.9919</v>
      </c>
      <c r="I26" s="7" t="inlineStr">
        <is>
          <t>Test_0.2_DR_PCA15_RF</t>
        </is>
      </c>
      <c r="J26" s="7">
        <f>D26&amp;"|"&amp;TEXT(H26,"0.0000")</f>
        <v/>
      </c>
    </row>
    <row r="27">
      <c r="A27" s="6" t="n">
        <v>0.4</v>
      </c>
      <c r="B27" s="7" t="inlineStr">
        <is>
          <t>60 / 40</t>
        </is>
      </c>
      <c r="C27" s="7" t="inlineStr">
        <is>
          <t>PCA, 15 components</t>
        </is>
      </c>
      <c r="D27" s="7" t="inlineStr">
        <is>
          <t>Random Forest</t>
        </is>
      </c>
      <c r="E27" s="8" t="n">
        <v>0.9906</v>
      </c>
      <c r="F27" s="8" t="n">
        <v>0.9906</v>
      </c>
      <c r="G27" s="8" t="n">
        <v>0.9906</v>
      </c>
      <c r="H27" s="8" t="n">
        <v>0.9905</v>
      </c>
      <c r="I27" s="7" t="inlineStr">
        <is>
          <t>Test_0.4_DR_PCA15_RF</t>
        </is>
      </c>
      <c r="J27" s="7">
        <f>D27&amp;"|"&amp;TEXT(H27,"0.0000")</f>
        <v/>
      </c>
    </row>
    <row r="28">
      <c r="A28" s="6" t="n">
        <v>0.6</v>
      </c>
      <c r="B28" s="7" t="inlineStr">
        <is>
          <t>40 / 60</t>
        </is>
      </c>
      <c r="C28" s="7" t="inlineStr">
        <is>
          <t>PCA, 15 components</t>
        </is>
      </c>
      <c r="D28" s="7" t="inlineStr">
        <is>
          <t>Random Forest</t>
        </is>
      </c>
      <c r="E28" s="8" t="n">
        <v>0.9896</v>
      </c>
      <c r="F28" s="8" t="n">
        <v>0.9893999999999999</v>
      </c>
      <c r="G28" s="8" t="n">
        <v>0.9896</v>
      </c>
      <c r="H28" s="8" t="n">
        <v>0.9895</v>
      </c>
      <c r="I28" s="7" t="inlineStr">
        <is>
          <t>Test_0.6_DR_PCA15_RF</t>
        </is>
      </c>
      <c r="J28" s="7">
        <f>D28&amp;"|"&amp;TEXT(H28,"0.0000")</f>
        <v/>
      </c>
    </row>
    <row r="29">
      <c r="A29" s="6" t="n">
        <v>0.2</v>
      </c>
      <c r="B29" s="7" t="inlineStr">
        <is>
          <t>80 / 20</t>
        </is>
      </c>
      <c r="C29" s="7" t="inlineStr">
        <is>
          <t>PCA, 5 components</t>
        </is>
      </c>
      <c r="D29" s="7" t="inlineStr">
        <is>
          <t>Quadratic Discriminant Analysis</t>
        </is>
      </c>
      <c r="E29" s="8" t="n">
        <v>0.2446</v>
      </c>
      <c r="F29" s="8" t="n">
        <v>0.9224</v>
      </c>
      <c r="G29" s="8" t="n">
        <v>0.2446</v>
      </c>
      <c r="H29" s="8" t="n">
        <v>0.3458</v>
      </c>
      <c r="I29" s="7" t="inlineStr">
        <is>
          <t>Test_0.2_DR_PCA5_QDA</t>
        </is>
      </c>
      <c r="J29" s="7">
        <f>D29&amp;"|"&amp;TEXT(H29,"0.0000")</f>
        <v/>
      </c>
    </row>
    <row r="30">
      <c r="A30" s="6" t="n">
        <v>0.4</v>
      </c>
      <c r="B30" s="7" t="inlineStr">
        <is>
          <t>60 / 40</t>
        </is>
      </c>
      <c r="C30" s="7" t="inlineStr">
        <is>
          <t>PCA, 5 components</t>
        </is>
      </c>
      <c r="D30" s="7" t="inlineStr">
        <is>
          <t>Quadratic Discriminant Analysis</t>
        </is>
      </c>
      <c r="E30" s="8" t="n">
        <v>0.2309</v>
      </c>
      <c r="F30" s="8" t="n">
        <v>0.9183</v>
      </c>
      <c r="G30" s="8" t="n">
        <v>0.2309</v>
      </c>
      <c r="H30" s="8" t="n">
        <v>0.326</v>
      </c>
      <c r="I30" s="7" t="inlineStr">
        <is>
          <t>Test_0.4_DR_PCA5_QDA</t>
        </is>
      </c>
      <c r="J30" s="7">
        <f>D30&amp;"|"&amp;TEXT(H30,"0.0000")</f>
        <v/>
      </c>
    </row>
    <row r="31">
      <c r="A31" s="6" t="n">
        <v>0.6</v>
      </c>
      <c r="B31" s="7" t="inlineStr">
        <is>
          <t>40 / 60</t>
        </is>
      </c>
      <c r="C31" s="7" t="inlineStr">
        <is>
          <t>PCA, 5 components</t>
        </is>
      </c>
      <c r="D31" s="7" t="inlineStr">
        <is>
          <t>Quadratic Discriminant Analysis</t>
        </is>
      </c>
      <c r="E31" s="8" t="n">
        <v>0.2335</v>
      </c>
      <c r="F31" s="8" t="n">
        <v>0.9195</v>
      </c>
      <c r="G31" s="8" t="n">
        <v>0.2335</v>
      </c>
      <c r="H31" s="8" t="n">
        <v>0.3298</v>
      </c>
      <c r="I31" s="7" t="inlineStr">
        <is>
          <t>Test_0.6_DR_PCA5_QDA</t>
        </is>
      </c>
      <c r="J31" s="7">
        <f>D31&amp;"|"&amp;TEXT(H31,"0.0000")</f>
        <v/>
      </c>
    </row>
    <row r="32">
      <c r="A32" s="6" t="n">
        <v>0.2</v>
      </c>
      <c r="B32" s="7" t="inlineStr">
        <is>
          <t>80 / 20</t>
        </is>
      </c>
      <c r="C32" s="7" t="inlineStr">
        <is>
          <t>PCA, 10 components</t>
        </is>
      </c>
      <c r="D32" s="7" t="inlineStr">
        <is>
          <t>Quadratic Discriminant Analysis</t>
        </is>
      </c>
      <c r="E32" s="8" t="n">
        <v>0.2364</v>
      </c>
      <c r="F32" s="8" t="n">
        <v>0.9207</v>
      </c>
      <c r="G32" s="8" t="n">
        <v>0.2364</v>
      </c>
      <c r="H32" s="8" t="n">
        <v>0.3374</v>
      </c>
      <c r="I32" s="7" t="inlineStr">
        <is>
          <t>Test_0.2_DR_PCA10_QDA</t>
        </is>
      </c>
      <c r="J32" s="7">
        <f>D32&amp;"|"&amp;TEXT(H32,"0.0000")</f>
        <v/>
      </c>
    </row>
    <row r="33">
      <c r="A33" s="6" t="n">
        <v>0.4</v>
      </c>
      <c r="B33" s="7" t="inlineStr">
        <is>
          <t>60 / 40</t>
        </is>
      </c>
      <c r="C33" s="7" t="inlineStr">
        <is>
          <t>PCA, 10 components</t>
        </is>
      </c>
      <c r="D33" s="7" t="inlineStr">
        <is>
          <t>Quadratic Discriminant Analysis</t>
        </is>
      </c>
      <c r="E33" s="8" t="n">
        <v>0.2286</v>
      </c>
      <c r="F33" s="8" t="n">
        <v>0.9203</v>
      </c>
      <c r="G33" s="8" t="n">
        <v>0.2286</v>
      </c>
      <c r="H33" s="8" t="n">
        <v>0.3283</v>
      </c>
      <c r="I33" s="7" t="inlineStr">
        <is>
          <t>Test_0.4_DR_PCA10_QDA</t>
        </is>
      </c>
      <c r="J33" s="7">
        <f>D33&amp;"|"&amp;TEXT(H33,"0.0000")</f>
        <v/>
      </c>
    </row>
    <row r="34">
      <c r="A34" s="6" t="n">
        <v>0.6</v>
      </c>
      <c r="B34" s="7" t="inlineStr">
        <is>
          <t>40 / 60</t>
        </is>
      </c>
      <c r="C34" s="7" t="inlineStr">
        <is>
          <t>PCA, 10 components</t>
        </is>
      </c>
      <c r="D34" s="7" t="inlineStr">
        <is>
          <t>Quadratic Discriminant Analysis</t>
        </is>
      </c>
      <c r="E34" s="8" t="n">
        <v>0.2316</v>
      </c>
      <c r="F34" s="8" t="n">
        <v>0.9232</v>
      </c>
      <c r="G34" s="8" t="n">
        <v>0.2316</v>
      </c>
      <c r="H34" s="8" t="n">
        <v>0.3327</v>
      </c>
      <c r="I34" s="7" t="inlineStr">
        <is>
          <t>Test_0.6_DR_PCA10_QDA</t>
        </is>
      </c>
      <c r="J34" s="7">
        <f>D34&amp;"|"&amp;TEXT(H34,"0.0000")</f>
        <v/>
      </c>
    </row>
    <row r="35">
      <c r="A35" s="6" t="n">
        <v>0.2</v>
      </c>
      <c r="B35" s="7" t="inlineStr">
        <is>
          <t>80 / 20</t>
        </is>
      </c>
      <c r="C35" s="7" t="inlineStr">
        <is>
          <t>PCA, 15 components</t>
        </is>
      </c>
      <c r="D35" s="7" t="inlineStr">
        <is>
          <t>Quadratic Discriminant Analysis</t>
        </is>
      </c>
      <c r="E35" s="8" t="n">
        <v>0.2379</v>
      </c>
      <c r="F35" s="8" t="n">
        <v>0.9256</v>
      </c>
      <c r="G35" s="8" t="n">
        <v>0.2379</v>
      </c>
      <c r="H35" s="8" t="n">
        <v>0.3391</v>
      </c>
      <c r="I35" s="7" t="inlineStr">
        <is>
          <t>Test_0.2_DR_PCA15_QDA</t>
        </is>
      </c>
      <c r="J35" s="7">
        <f>D35&amp;"|"&amp;TEXT(H35,"0.0000")</f>
        <v/>
      </c>
    </row>
    <row r="36">
      <c r="A36" s="6" t="n">
        <v>0.4</v>
      </c>
      <c r="B36" s="7" t="inlineStr">
        <is>
          <t>60 / 40</t>
        </is>
      </c>
      <c r="C36" s="7" t="inlineStr">
        <is>
          <t>PCA, 15 components</t>
        </is>
      </c>
      <c r="D36" s="7" t="inlineStr">
        <is>
          <t>Quadratic Discriminant Analysis</t>
        </is>
      </c>
      <c r="E36" s="8" t="n">
        <v>0.2313</v>
      </c>
      <c r="F36" s="8" t="n">
        <v>0.9249000000000001</v>
      </c>
      <c r="G36" s="8" t="n">
        <v>0.2313</v>
      </c>
      <c r="H36" s="8" t="n">
        <v>0.3312</v>
      </c>
      <c r="I36" s="7" t="inlineStr">
        <is>
          <t>Test_0.4_DR_PCA15_QDA</t>
        </is>
      </c>
      <c r="J36" s="7">
        <f>D36&amp;"|"&amp;TEXT(H36,"0.0000")</f>
        <v/>
      </c>
    </row>
    <row r="37">
      <c r="A37" s="6" t="n">
        <v>0.6</v>
      </c>
      <c r="B37" s="7" t="inlineStr">
        <is>
          <t>40 / 60</t>
        </is>
      </c>
      <c r="C37" s="7" t="inlineStr">
        <is>
          <t>PCA, 15 components</t>
        </is>
      </c>
      <c r="D37" s="7" t="inlineStr">
        <is>
          <t>Quadratic Discriminant Analysis</t>
        </is>
      </c>
      <c r="E37" s="8" t="n">
        <v>0.2324</v>
      </c>
      <c r="F37" s="8" t="n">
        <v>0.9252</v>
      </c>
      <c r="G37" s="8" t="n">
        <v>0.2324</v>
      </c>
      <c r="H37" s="8" t="n">
        <v>0.3337</v>
      </c>
      <c r="I37" s="7" t="inlineStr">
        <is>
          <t>Test_0.6_DR_PCA15_QDA</t>
        </is>
      </c>
      <c r="J37" s="7">
        <f>D37&amp;"|"&amp;TEXT(H37,"0.0000")</f>
        <v/>
      </c>
    </row>
    <row r="38">
      <c r="A38" s="6" t="n">
        <v>0.2</v>
      </c>
      <c r="B38" s="7" t="inlineStr">
        <is>
          <t>80 / 20</t>
        </is>
      </c>
      <c r="C38" s="7" t="inlineStr">
        <is>
          <t>PCA, 5 components</t>
        </is>
      </c>
      <c r="D38" s="7" t="inlineStr">
        <is>
          <t>Ridge Regression</t>
        </is>
      </c>
      <c r="E38" s="8" t="n">
        <v>0.865</v>
      </c>
      <c r="F38" s="8" t="n">
        <v>0.8782</v>
      </c>
      <c r="G38" s="8" t="n">
        <v>0.865</v>
      </c>
      <c r="H38" s="8" t="n">
        <v>0.8616</v>
      </c>
      <c r="I38" s="7" t="inlineStr">
        <is>
          <t>Test_0.2_DR_PCA5_RIDGE</t>
        </is>
      </c>
      <c r="J38" s="7">
        <f>D38&amp;"|"&amp;TEXT(H38,"0.0000")</f>
        <v/>
      </c>
    </row>
    <row r="39">
      <c r="A39" s="6" t="n">
        <v>0.4</v>
      </c>
      <c r="B39" s="7" t="inlineStr">
        <is>
          <t>60 / 40</t>
        </is>
      </c>
      <c r="C39" s="7" t="inlineStr">
        <is>
          <t>PCA, 5 components</t>
        </is>
      </c>
      <c r="D39" s="7" t="inlineStr">
        <is>
          <t>Ridge Regression</t>
        </is>
      </c>
      <c r="E39" s="8" t="n">
        <v>0.8625</v>
      </c>
      <c r="F39" s="8" t="n">
        <v>0.8758</v>
      </c>
      <c r="G39" s="8" t="n">
        <v>0.8625</v>
      </c>
      <c r="H39" s="8" t="n">
        <v>0.8592</v>
      </c>
      <c r="I39" s="7" t="inlineStr">
        <is>
          <t>Test_0.4_DR_PCA5_RIDGE</t>
        </is>
      </c>
      <c r="J39" s="7">
        <f>D39&amp;"|"&amp;TEXT(H39,"0.0000")</f>
        <v/>
      </c>
    </row>
    <row r="40">
      <c r="A40" s="6" t="n">
        <v>0.6</v>
      </c>
      <c r="B40" s="7" t="inlineStr">
        <is>
          <t>40 / 60</t>
        </is>
      </c>
      <c r="C40" s="7" t="inlineStr">
        <is>
          <t>PCA, 5 components</t>
        </is>
      </c>
      <c r="D40" s="7" t="inlineStr">
        <is>
          <t>Ridge Regression</t>
        </is>
      </c>
      <c r="E40" s="8" t="n">
        <v>0.8601</v>
      </c>
      <c r="F40" s="8" t="n">
        <v>0.877</v>
      </c>
      <c r="G40" s="8" t="n">
        <v>0.8601</v>
      </c>
      <c r="H40" s="8" t="n">
        <v>0.8576</v>
      </c>
      <c r="I40" s="7" t="inlineStr">
        <is>
          <t>Test_0.6_DR_PCA5_RIDGE</t>
        </is>
      </c>
      <c r="J40" s="7">
        <f>D40&amp;"|"&amp;TEXT(H40,"0.0000")</f>
        <v/>
      </c>
    </row>
    <row r="41">
      <c r="A41" s="6" t="n">
        <v>0.2</v>
      </c>
      <c r="B41" s="7" t="inlineStr">
        <is>
          <t>80 / 20</t>
        </is>
      </c>
      <c r="C41" s="7" t="inlineStr">
        <is>
          <t>PCA, 10 components</t>
        </is>
      </c>
      <c r="D41" s="7" t="inlineStr">
        <is>
          <t>Ridge Regression</t>
        </is>
      </c>
      <c r="E41" s="8" t="n">
        <v>0.8626</v>
      </c>
      <c r="F41" s="8" t="n">
        <v>0.8793</v>
      </c>
      <c r="G41" s="8" t="n">
        <v>0.8626</v>
      </c>
      <c r="H41" s="8" t="n">
        <v>0.8599</v>
      </c>
      <c r="I41" s="7" t="inlineStr">
        <is>
          <t>Test_0.2_DR_PCA10_RIDGE</t>
        </is>
      </c>
      <c r="J41" s="7">
        <f>D41&amp;"|"&amp;TEXT(H41,"0.0000")</f>
        <v/>
      </c>
    </row>
    <row r="42">
      <c r="A42" s="6" t="n">
        <v>0.4</v>
      </c>
      <c r="B42" s="7" t="inlineStr">
        <is>
          <t>60 / 40</t>
        </is>
      </c>
      <c r="C42" s="7" t="inlineStr">
        <is>
          <t>PCA, 10 components</t>
        </is>
      </c>
      <c r="D42" s="7" t="inlineStr">
        <is>
          <t>Ridge Regression</t>
        </is>
      </c>
      <c r="E42" s="8" t="n">
        <v>0.8632</v>
      </c>
      <c r="F42" s="8" t="n">
        <v>0.8782</v>
      </c>
      <c r="G42" s="8" t="n">
        <v>0.8632</v>
      </c>
      <c r="H42" s="8" t="n">
        <v>0.8599</v>
      </c>
      <c r="I42" s="7" t="inlineStr">
        <is>
          <t>Test_0.4_DR_PCA10_RIDGE</t>
        </is>
      </c>
      <c r="J42" s="7">
        <f>D42&amp;"|"&amp;TEXT(H42,"0.0000")</f>
        <v/>
      </c>
    </row>
    <row r="43">
      <c r="A43" s="6" t="n">
        <v>0.6</v>
      </c>
      <c r="B43" s="7" t="inlineStr">
        <is>
          <t>40 / 60</t>
        </is>
      </c>
      <c r="C43" s="7" t="inlineStr">
        <is>
          <t>PCA, 10 components</t>
        </is>
      </c>
      <c r="D43" s="7" t="inlineStr">
        <is>
          <t>Ridge Regression</t>
        </is>
      </c>
      <c r="E43" s="8" t="n">
        <v>0.8633999999999999</v>
      </c>
      <c r="F43" s="8" t="n">
        <v>0.8787</v>
      </c>
      <c r="G43" s="8" t="n">
        <v>0.8633999999999999</v>
      </c>
      <c r="H43" s="8" t="n">
        <v>0.8601</v>
      </c>
      <c r="I43" s="7" t="inlineStr">
        <is>
          <t>Test_0.6_DR_PCA10_RIDGE</t>
        </is>
      </c>
      <c r="J43" s="7">
        <f>D43&amp;"|"&amp;TEXT(H43,"0.0000")</f>
        <v/>
      </c>
    </row>
    <row r="44">
      <c r="A44" s="6" t="n">
        <v>0.2</v>
      </c>
      <c r="B44" s="7" t="inlineStr">
        <is>
          <t>80 / 20</t>
        </is>
      </c>
      <c r="C44" s="7" t="inlineStr">
        <is>
          <t>PCA, 15 components</t>
        </is>
      </c>
      <c r="D44" s="7" t="inlineStr">
        <is>
          <t>Ridge Regression</t>
        </is>
      </c>
      <c r="E44" s="8" t="n">
        <v>0.8651</v>
      </c>
      <c r="F44" s="8" t="n">
        <v>0.8779</v>
      </c>
      <c r="G44" s="8" t="n">
        <v>0.8651</v>
      </c>
      <c r="H44" s="8" t="n">
        <v>0.8612</v>
      </c>
      <c r="I44" s="7" t="inlineStr">
        <is>
          <t>Test_0.2_DR_PCA15_RIDGE</t>
        </is>
      </c>
      <c r="J44" s="7">
        <f>D44&amp;"|"&amp;TEXT(H44,"0.0000")</f>
        <v/>
      </c>
    </row>
    <row r="45">
      <c r="A45" s="6" t="n">
        <v>0.4</v>
      </c>
      <c r="B45" s="7" t="inlineStr">
        <is>
          <t>60 / 40</t>
        </is>
      </c>
      <c r="C45" s="7" t="inlineStr">
        <is>
          <t>PCA, 15 components</t>
        </is>
      </c>
      <c r="D45" s="7" t="inlineStr">
        <is>
          <t>Ridge Regression</t>
        </is>
      </c>
      <c r="E45" s="8" t="n">
        <v>0.8656</v>
      </c>
      <c r="F45" s="8" t="n">
        <v>0.8747</v>
      </c>
      <c r="G45" s="8" t="n">
        <v>0.8656</v>
      </c>
      <c r="H45" s="8" t="n">
        <v>0.8607</v>
      </c>
      <c r="I45" s="7" t="inlineStr">
        <is>
          <t>Test_0.4_DR_PCA15_RIDGE</t>
        </is>
      </c>
      <c r="J45" s="7">
        <f>D45&amp;"|"&amp;TEXT(H45,"0.0000")</f>
        <v/>
      </c>
    </row>
    <row r="46">
      <c r="A46" s="6" t="n">
        <v>0.6</v>
      </c>
      <c r="B46" s="7" t="inlineStr">
        <is>
          <t>40 / 60</t>
        </is>
      </c>
      <c r="C46" s="7" t="inlineStr">
        <is>
          <t>PCA, 15 components</t>
        </is>
      </c>
      <c r="D46" s="7" t="inlineStr">
        <is>
          <t>Ridge Regression</t>
        </is>
      </c>
      <c r="E46" s="8" t="n">
        <v>0.8656</v>
      </c>
      <c r="F46" s="8" t="n">
        <v>0.8794</v>
      </c>
      <c r="G46" s="8" t="n">
        <v>0.8656</v>
      </c>
      <c r="H46" s="8" t="n">
        <v>0.8617</v>
      </c>
      <c r="I46" s="7" t="inlineStr">
        <is>
          <t>Test_0.6_DR_PCA15_RIDGE</t>
        </is>
      </c>
      <c r="J46" s="7">
        <f>D46&amp;"|"&amp;TEXT(H46,"0.0000")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24" customWidth="1" min="4" max="4"/>
    <col width="11" customWidth="1" min="5" max="5"/>
    <col width="20" customWidth="1" min="6" max="6"/>
  </cols>
  <sheetData>
    <row r="1">
      <c r="A1" s="1" t="inlineStr">
        <is>
          <t>Highest weighted F1 score for each classifier</t>
        </is>
      </c>
    </row>
    <row r="3">
      <c r="A3" s="5" t="inlineStr">
        <is>
          <t>Short form</t>
        </is>
      </c>
      <c r="B3" s="5" t="inlineStr">
        <is>
          <t>Classifier</t>
        </is>
      </c>
      <c r="C3" s="5" t="inlineStr">
        <is>
          <t>Test size</t>
        </is>
      </c>
      <c r="D3" s="5" t="inlineStr">
        <is>
          <t>Dimensionality reduction</t>
        </is>
      </c>
      <c r="E3" s="5" t="inlineStr">
        <is>
          <t>Accuracy</t>
        </is>
      </c>
      <c r="F3" s="5" t="inlineStr">
        <is>
          <t>F1 score (weighted)</t>
        </is>
      </c>
    </row>
    <row r="4">
      <c r="A4" s="7" t="inlineStr">
        <is>
          <t>GB</t>
        </is>
      </c>
      <c r="B4" s="7" t="inlineStr">
        <is>
          <t>Gradient Boosting</t>
        </is>
      </c>
      <c r="C4" s="9">
        <f>INDEX('full detail'!$A$2:$A$46,MATCH($B4&amp;"|"&amp;TEXT($F4,"0.0000"),'full detail'!$J$2:$J$46,0))</f>
        <v/>
      </c>
      <c r="D4" s="7">
        <f>INDEX('full detail'!$C$2:$C$46,MATCH($B4&amp;"|"&amp;TEXT($F4,"0.0000"),'full detail'!$J$2:$J$46,0))</f>
        <v/>
      </c>
      <c r="E4" s="8">
        <f>INDEX('full detail'!$E$2:$E$46,MATCH($B4&amp;"|"&amp;TEXT($F4,"0.0000"),'full detail'!$J$2:$J$46,0))</f>
        <v/>
      </c>
      <c r="F4" s="8">
        <f>_xlfn.MAXIFS('full detail'!$H$2:$H$46,'full detail'!$D$2:$D$46,$B4)</f>
        <v/>
      </c>
    </row>
    <row r="5">
      <c r="A5" s="7" t="inlineStr">
        <is>
          <t>MLP</t>
        </is>
      </c>
      <c r="B5" s="7" t="inlineStr">
        <is>
          <t>Multilayer Perceptron</t>
        </is>
      </c>
      <c r="C5" s="9">
        <f>INDEX('full detail'!$A$2:$A$46,MATCH($B5&amp;"|"&amp;TEXT($F5,"0.0000"),'full detail'!$J$2:$J$46,0))</f>
        <v/>
      </c>
      <c r="D5" s="7">
        <f>INDEX('full detail'!$C$2:$C$46,MATCH($B5&amp;"|"&amp;TEXT($F5,"0.0000"),'full detail'!$J$2:$J$46,0))</f>
        <v/>
      </c>
      <c r="E5" s="8">
        <f>INDEX('full detail'!$E$2:$E$46,MATCH($B5&amp;"|"&amp;TEXT($F5,"0.0000"),'full detail'!$J$2:$J$46,0))</f>
        <v/>
      </c>
      <c r="F5" s="8">
        <f>_xlfn.MAXIFS('full detail'!$H$2:$H$46,'full detail'!$D$2:$D$46,$B5)</f>
        <v/>
      </c>
    </row>
    <row r="6">
      <c r="A6" s="7" t="inlineStr">
        <is>
          <t>RF</t>
        </is>
      </c>
      <c r="B6" s="7" t="inlineStr">
        <is>
          <t>Random Forest</t>
        </is>
      </c>
      <c r="C6" s="9">
        <f>INDEX('full detail'!$A$2:$A$46,MATCH($B6&amp;"|"&amp;TEXT($F6,"0.0000"),'full detail'!$J$2:$J$46,0))</f>
        <v/>
      </c>
      <c r="D6" s="7">
        <f>INDEX('full detail'!$C$2:$C$46,MATCH($B6&amp;"|"&amp;TEXT($F6,"0.0000"),'full detail'!$J$2:$J$46,0))</f>
        <v/>
      </c>
      <c r="E6" s="8">
        <f>INDEX('full detail'!$E$2:$E$46,MATCH($B6&amp;"|"&amp;TEXT($F6,"0.0000"),'full detail'!$J$2:$J$46,0))</f>
        <v/>
      </c>
      <c r="F6" s="8">
        <f>_xlfn.MAXIFS('full detail'!$H$2:$H$46,'full detail'!$D$2:$D$46,$B6)</f>
        <v/>
      </c>
    </row>
    <row r="7">
      <c r="A7" s="7" t="inlineStr">
        <is>
          <t>QDA</t>
        </is>
      </c>
      <c r="B7" s="7" t="inlineStr">
        <is>
          <t>Quadratic Discriminant Analysis</t>
        </is>
      </c>
      <c r="C7" s="9">
        <f>INDEX('full detail'!$A$2:$A$46,MATCH($B7&amp;"|"&amp;TEXT($F7,"0.0000"),'full detail'!$J$2:$J$46,0))</f>
        <v/>
      </c>
      <c r="D7" s="7">
        <f>INDEX('full detail'!$C$2:$C$46,MATCH($B7&amp;"|"&amp;TEXT($F7,"0.0000"),'full detail'!$J$2:$J$46,0))</f>
        <v/>
      </c>
      <c r="E7" s="8">
        <f>INDEX('full detail'!$E$2:$E$46,MATCH($B7&amp;"|"&amp;TEXT($F7,"0.0000"),'full detail'!$J$2:$J$46,0))</f>
        <v/>
      </c>
      <c r="F7" s="8">
        <f>_xlfn.MAXIFS('full detail'!$H$2:$H$46,'full detail'!$D$2:$D$46,$B7)</f>
        <v/>
      </c>
    </row>
    <row r="8">
      <c r="A8" s="7" t="inlineStr">
        <is>
          <t>RIDGE</t>
        </is>
      </c>
      <c r="B8" s="7" t="inlineStr">
        <is>
          <t>Ridge Regression</t>
        </is>
      </c>
      <c r="C8" s="9">
        <f>INDEX('full detail'!$A$2:$A$46,MATCH($B8&amp;"|"&amp;TEXT($F8,"0.0000"),'full detail'!$J$2:$J$46,0))</f>
        <v/>
      </c>
      <c r="D8" s="7">
        <f>INDEX('full detail'!$C$2:$C$46,MATCH($B8&amp;"|"&amp;TEXT($F8,"0.0000"),'full detail'!$J$2:$J$46,0))</f>
        <v/>
      </c>
      <c r="E8" s="8">
        <f>INDEX('full detail'!$E$2:$E$46,MATCH($B8&amp;"|"&amp;TEXT($F8,"0.0000"),'full detail'!$J$2:$J$46,0))</f>
        <v/>
      </c>
      <c r="F8" s="8">
        <f>_xlfn.MAXIFS('full detail'!$H$2:$H$46,'full detail'!$D$2:$D$46,$B8)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Weighted F1 score averaged over the three test sizes</t>
        </is>
      </c>
    </row>
    <row r="3">
      <c r="A3" s="5" t="inlineStr">
        <is>
          <t>Classifier</t>
        </is>
      </c>
      <c r="B3" s="5" t="inlineStr">
        <is>
          <t>PCA, 5 components</t>
        </is>
      </c>
      <c r="C3" s="5" t="inlineStr">
        <is>
          <t>PCA, 10 components</t>
        </is>
      </c>
      <c r="D3" s="5" t="inlineStr">
        <is>
          <t>PCA, 15 components</t>
        </is>
      </c>
    </row>
    <row r="4">
      <c r="A4" s="7" t="inlineStr">
        <is>
          <t>Gradient Boosting</t>
        </is>
      </c>
      <c r="B4" s="8">
        <f>AVERAGEIFS('full detail'!$H$2:$H$46,'full detail'!$D$2:$D$46,$A4,'full detail'!$C$2:$C$46,B$3)</f>
        <v/>
      </c>
      <c r="C4" s="8">
        <f>AVERAGEIFS('full detail'!$H$2:$H$46,'full detail'!$D$2:$D$46,$A4,'full detail'!$C$2:$C$46,C$3)</f>
        <v/>
      </c>
      <c r="D4" s="8">
        <f>AVERAGEIFS('full detail'!$H$2:$H$46,'full detail'!$D$2:$D$46,$A4,'full detail'!$C$2:$C$46,D$3)</f>
        <v/>
      </c>
    </row>
    <row r="5">
      <c r="A5" s="7" t="inlineStr">
        <is>
          <t>Multilayer Perceptron</t>
        </is>
      </c>
      <c r="B5" s="8">
        <f>AVERAGEIFS('full detail'!$H$2:$H$46,'full detail'!$D$2:$D$46,$A5,'full detail'!$C$2:$C$46,B$3)</f>
        <v/>
      </c>
      <c r="C5" s="8">
        <f>AVERAGEIFS('full detail'!$H$2:$H$46,'full detail'!$D$2:$D$46,$A5,'full detail'!$C$2:$C$46,C$3)</f>
        <v/>
      </c>
      <c r="D5" s="8">
        <f>AVERAGEIFS('full detail'!$H$2:$H$46,'full detail'!$D$2:$D$46,$A5,'full detail'!$C$2:$C$46,D$3)</f>
        <v/>
      </c>
    </row>
    <row r="6">
      <c r="A6" s="7" t="inlineStr">
        <is>
          <t>Random Forest</t>
        </is>
      </c>
      <c r="B6" s="8">
        <f>AVERAGEIFS('full detail'!$H$2:$H$46,'full detail'!$D$2:$D$46,$A6,'full detail'!$C$2:$C$46,B$3)</f>
        <v/>
      </c>
      <c r="C6" s="8">
        <f>AVERAGEIFS('full detail'!$H$2:$H$46,'full detail'!$D$2:$D$46,$A6,'full detail'!$C$2:$C$46,C$3)</f>
        <v/>
      </c>
      <c r="D6" s="8">
        <f>AVERAGEIFS('full detail'!$H$2:$H$46,'full detail'!$D$2:$D$46,$A6,'full detail'!$C$2:$C$46,D$3)</f>
        <v/>
      </c>
    </row>
    <row r="7">
      <c r="A7" s="7" t="inlineStr">
        <is>
          <t>Quadratic Discriminant Analysis</t>
        </is>
      </c>
      <c r="B7" s="8">
        <f>AVERAGEIFS('full detail'!$H$2:$H$46,'full detail'!$D$2:$D$46,$A7,'full detail'!$C$2:$C$46,B$3)</f>
        <v/>
      </c>
      <c r="C7" s="8">
        <f>AVERAGEIFS('full detail'!$H$2:$H$46,'full detail'!$D$2:$D$46,$A7,'full detail'!$C$2:$C$46,C$3)</f>
        <v/>
      </c>
      <c r="D7" s="8">
        <f>AVERAGEIFS('full detail'!$H$2:$H$46,'full detail'!$D$2:$D$46,$A7,'full detail'!$C$2:$C$46,D$3)</f>
        <v/>
      </c>
    </row>
    <row r="8">
      <c r="A8" s="7" t="inlineStr">
        <is>
          <t>Ridge Regression</t>
        </is>
      </c>
      <c r="B8" s="8">
        <f>AVERAGEIFS('full detail'!$H$2:$H$46,'full detail'!$D$2:$D$46,$A8,'full detail'!$C$2:$C$46,B$3)</f>
        <v/>
      </c>
      <c r="C8" s="8">
        <f>AVERAGEIFS('full detail'!$H$2:$H$46,'full detail'!$D$2:$D$46,$A8,'full detail'!$C$2:$C$46,C$3)</f>
        <v/>
      </c>
      <c r="D8" s="8">
        <f>AVERAGEIFS('full detail'!$H$2:$H$46,'full detail'!$D$2:$D$46,$A8,'full detail'!$C$2:$C$46,D$3)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2026-10-14T20:14:59Z</dcterms:created>
  <dcterms:modified xmlns:dcterms="http://purl.org/dc/terms/" xmlns:xsi="http://www.w3.org/2001/XMLSchema-instance" xsi:type="dcterms:W3CDTF">2026-10-14T20:14:59Z</dcterms:modified>
  <cp:lastModifiedBy/>
</cp:coreProperties>
</file>